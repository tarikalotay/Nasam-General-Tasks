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Marah" sheetId="2" state="visible" r:id="rId4"/>
    <sheet name="SONDOS" sheetId="3" state="visible" r:id="rId5"/>
    <sheet name="Wadi Halfa" sheetId="4" state="visible" r:id="rId6"/>
  </sheets>
  <definedNames>
    <definedName function="false" hidden="true" localSheetId="1" name="_xlnm._FilterDatabase" vbProcedure="false">Marah!$A$4:$L$109</definedName>
    <definedName function="false" hidden="true" localSheetId="2" name="_xlnm._FilterDatabase" vbProcedure="false">SONDOS!$A$4:$L$74</definedName>
    <definedName function="false" hidden="true" localSheetId="3" name="_xlnm._FilterDatabase" vbProcedure="false">'Wadi Halfa'!$A$4:$L$28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<sst xmlns="http://schemas.openxmlformats.org/spreadsheetml/2006/main" count="853" uniqueCount="180">
  <si>
    <t xml:space="preserve">PO Commission Summary — Sep 2025 to Aug 2026</t>
  </si>
  <si>
    <t xml:space="preserve">Grouped by PO order month. All figures pulled live from the brand sheets (SAR).</t>
  </si>
  <si>
    <t xml:space="preserve">Month</t>
  </si>
  <si>
    <t xml:space="preserve">Marah</t>
  </si>
  <si>
    <t xml:space="preserve">SONDOS</t>
  </si>
  <si>
    <t xml:space="preserve">Wadi Halfa</t>
  </si>
  <si>
    <t xml:space="preserve">Total Commission</t>
  </si>
  <si>
    <t xml:space="preserve">Total Received</t>
  </si>
  <si>
    <t xml:space="preserve">Total</t>
  </si>
  <si>
    <t xml:space="preserve">Marah — Vendor Purchase Orders &amp; Commission</t>
  </si>
  <si>
    <t xml:space="preserve">Commission rate (of received):</t>
  </si>
  <si>
    <t xml:space="preserve">Commission per PO = ROUND(Received × rate, 2). Source: vendor PO dashboard export; delivered dates from Nasam.</t>
  </si>
  <si>
    <t xml:space="preserve">PO Number</t>
  </si>
  <si>
    <t xml:space="preserve">Channel</t>
  </si>
  <si>
    <t xml:space="preserve">Order Date</t>
  </si>
  <si>
    <t xml:space="preserve">Delivered Date</t>
  </si>
  <si>
    <t xml:space="preserve">FC</t>
  </si>
  <si>
    <t xml:space="preserve">Units</t>
  </si>
  <si>
    <t xml:space="preserve">Requested (SAR)</t>
  </si>
  <si>
    <t xml:space="preserve">Received (SAR)</t>
  </si>
  <si>
    <t xml:space="preserve">Accept %</t>
  </si>
  <si>
    <t xml:space="preserve">Fulfill %</t>
  </si>
  <si>
    <t xml:space="preserve">Outcome</t>
  </si>
  <si>
    <t xml:space="preserve">Commission (SAR)</t>
  </si>
  <si>
    <t xml:space="preserve">8VVFT9PI</t>
  </si>
  <si>
    <t xml:space="preserve">Amazon Retail</t>
  </si>
  <si>
    <t xml:space="preserve">JED4</t>
  </si>
  <si>
    <t xml:space="preserve">Cancelled</t>
  </si>
  <si>
    <t xml:space="preserve">3EZ3B41A</t>
  </si>
  <si>
    <t xml:space="preserve">2OR6EQMN</t>
  </si>
  <si>
    <t xml:space="preserve">13XNC3UZ</t>
  </si>
  <si>
    <t xml:space="preserve">8C8ZHJUB</t>
  </si>
  <si>
    <t xml:space="preserve">RUH8</t>
  </si>
  <si>
    <t xml:space="preserve">4TN3ZVSL</t>
  </si>
  <si>
    <t xml:space="preserve">6PP725QB</t>
  </si>
  <si>
    <t xml:space="preserve">Shortage</t>
  </si>
  <si>
    <t xml:space="preserve">5NRV1UJB</t>
  </si>
  <si>
    <t xml:space="preserve">78NAQWEM</t>
  </si>
  <si>
    <t xml:space="preserve">71RVXBLU</t>
  </si>
  <si>
    <t xml:space="preserve">7PSVFJOX</t>
  </si>
  <si>
    <t xml:space="preserve">8RSMCYZA</t>
  </si>
  <si>
    <t xml:space="preserve">481D75AL</t>
  </si>
  <si>
    <t xml:space="preserve">7CR8MEDE</t>
  </si>
  <si>
    <t xml:space="preserve">2PRVZ2QJ</t>
  </si>
  <si>
    <t xml:space="preserve">4ELTCYLQ</t>
  </si>
  <si>
    <t xml:space="preserve">4SOV5ZPQ</t>
  </si>
  <si>
    <t xml:space="preserve">89E9VAQM</t>
  </si>
  <si>
    <t xml:space="preserve">3VGCXDFL</t>
  </si>
  <si>
    <t xml:space="preserve">6V2QLC8V</t>
  </si>
  <si>
    <t xml:space="preserve">3VQF583P</t>
  </si>
  <si>
    <t xml:space="preserve">7J5A33FT</t>
  </si>
  <si>
    <t xml:space="preserve">1JV74U5F</t>
  </si>
  <si>
    <t xml:space="preserve">2ZICET5J</t>
  </si>
  <si>
    <t xml:space="preserve">4PTXU81M</t>
  </si>
  <si>
    <t xml:space="preserve">XKSR</t>
  </si>
  <si>
    <t xml:space="preserve">2P93YCEF</t>
  </si>
  <si>
    <t xml:space="preserve">Delivered</t>
  </si>
  <si>
    <t xml:space="preserve">6DY1IPME</t>
  </si>
  <si>
    <t xml:space="preserve">6WB73PWY</t>
  </si>
  <si>
    <t xml:space="preserve">5EN36W7Q</t>
  </si>
  <si>
    <t xml:space="preserve">6CZVU75G</t>
  </si>
  <si>
    <t xml:space="preserve">7M6TKRHR</t>
  </si>
  <si>
    <t xml:space="preserve">6TDL7ZQP</t>
  </si>
  <si>
    <t xml:space="preserve">6PSDP49U</t>
  </si>
  <si>
    <t xml:space="preserve">797EACNS</t>
  </si>
  <si>
    <t xml:space="preserve">6UBMEEFU</t>
  </si>
  <si>
    <t xml:space="preserve">6V3M52MA</t>
  </si>
  <si>
    <t xml:space="preserve">6PH6KTZF</t>
  </si>
  <si>
    <t xml:space="preserve">6S9RVIGN</t>
  </si>
  <si>
    <t xml:space="preserve">8GLJBAPU</t>
  </si>
  <si>
    <t xml:space="preserve">2B5T42JL</t>
  </si>
  <si>
    <t xml:space="preserve">4MD92H1G</t>
  </si>
  <si>
    <t xml:space="preserve">3NBXS26G</t>
  </si>
  <si>
    <t xml:space="preserve">2776KBES</t>
  </si>
  <si>
    <t xml:space="preserve">35A5IQ5O</t>
  </si>
  <si>
    <t xml:space="preserve">2NMPDC6A</t>
  </si>
  <si>
    <t xml:space="preserve">63CNSAWW</t>
  </si>
  <si>
    <t xml:space="preserve">2Q2CPLWE</t>
  </si>
  <si>
    <t xml:space="preserve">1NS5YK4C</t>
  </si>
  <si>
    <t xml:space="preserve">47SZZRUF</t>
  </si>
  <si>
    <t xml:space="preserve">5CHSK8EF</t>
  </si>
  <si>
    <t xml:space="preserve">8MME3VWE</t>
  </si>
  <si>
    <t xml:space="preserve">33272MDV</t>
  </si>
  <si>
    <t xml:space="preserve">4VGJUUTB</t>
  </si>
  <si>
    <t xml:space="preserve">56ODNFEU</t>
  </si>
  <si>
    <t xml:space="preserve">6BQUXPAB</t>
  </si>
  <si>
    <t xml:space="preserve">7BB3BSGS</t>
  </si>
  <si>
    <t xml:space="preserve">1KBAMBMY</t>
  </si>
  <si>
    <t xml:space="preserve">12NKR58W</t>
  </si>
  <si>
    <t xml:space="preserve">6NWUZ15U</t>
  </si>
  <si>
    <t xml:space="preserve">7WF53VUB</t>
  </si>
  <si>
    <t xml:space="preserve">2I94WCYC</t>
  </si>
  <si>
    <t xml:space="preserve">8GDABTDG</t>
  </si>
  <si>
    <t xml:space="preserve">2FMA3P2X</t>
  </si>
  <si>
    <t xml:space="preserve">5PE3P2GE</t>
  </si>
  <si>
    <t xml:space="preserve">45NJYTSJ</t>
  </si>
  <si>
    <t xml:space="preserve">5A5RRTQI</t>
  </si>
  <si>
    <t xml:space="preserve">2ZQ63SQZ</t>
  </si>
  <si>
    <t xml:space="preserve">5C8HGLYP</t>
  </si>
  <si>
    <t xml:space="preserve">4DM5ZX9S</t>
  </si>
  <si>
    <t xml:space="preserve">5ZC4GIJB</t>
  </si>
  <si>
    <t xml:space="preserve">6YXMCSBG</t>
  </si>
  <si>
    <t xml:space="preserve">7FQQP3YA</t>
  </si>
  <si>
    <t xml:space="preserve">4HJZN3HS</t>
  </si>
  <si>
    <t xml:space="preserve">5YTDVHBW</t>
  </si>
  <si>
    <t xml:space="preserve">64ZRO2IW</t>
  </si>
  <si>
    <t xml:space="preserve">4J9CPFNV</t>
  </si>
  <si>
    <t xml:space="preserve">6G32T7VG</t>
  </si>
  <si>
    <t xml:space="preserve">2B23XHGH</t>
  </si>
  <si>
    <t xml:space="preserve">57VZIBCA</t>
  </si>
  <si>
    <t xml:space="preserve">25WE4Y7O</t>
  </si>
  <si>
    <t xml:space="preserve">31WXVSCY</t>
  </si>
  <si>
    <t xml:space="preserve">27HTOR4Q</t>
  </si>
  <si>
    <t xml:space="preserve">77DN671B</t>
  </si>
  <si>
    <t xml:space="preserve">6YXQJTKI</t>
  </si>
  <si>
    <t xml:space="preserve">78GBUJ1W</t>
  </si>
  <si>
    <t xml:space="preserve">RDF1</t>
  </si>
  <si>
    <t xml:space="preserve">8MHCMNQO</t>
  </si>
  <si>
    <t xml:space="preserve">5R5X8LID</t>
  </si>
  <si>
    <t xml:space="preserve">6DPTSK1M</t>
  </si>
  <si>
    <t xml:space="preserve">2AMQJ9LR</t>
  </si>
  <si>
    <t xml:space="preserve">6HIM13WU</t>
  </si>
  <si>
    <t xml:space="preserve">7HEB8XWB</t>
  </si>
  <si>
    <t xml:space="preserve">7X4T9L9X</t>
  </si>
  <si>
    <t xml:space="preserve">224Y4ETZ</t>
  </si>
  <si>
    <t xml:space="preserve">3UR2NYQH</t>
  </si>
  <si>
    <t xml:space="preserve">74LAZ8YS</t>
  </si>
  <si>
    <t xml:space="preserve">32IYI3CV</t>
  </si>
  <si>
    <t xml:space="preserve">6XBWLRCV</t>
  </si>
  <si>
    <t xml:space="preserve">65T5PXVI</t>
  </si>
  <si>
    <t xml:space="preserve">6Z9UWMBO</t>
  </si>
  <si>
    <t xml:space="preserve">7CS7ZUYR</t>
  </si>
  <si>
    <t xml:space="preserve">5249UCBK</t>
  </si>
  <si>
    <t xml:space="preserve">64TUIPCQ</t>
  </si>
  <si>
    <t xml:space="preserve">13WKUXGQ</t>
  </si>
  <si>
    <t xml:space="preserve">17WV7XMX</t>
  </si>
  <si>
    <t xml:space="preserve">53LUQGQJ</t>
  </si>
  <si>
    <t xml:space="preserve">SONDOS — Vendor Purchase Orders &amp; Commission</t>
  </si>
  <si>
    <t xml:space="preserve">6CRLP61F</t>
  </si>
  <si>
    <t xml:space="preserve">32EZOEJU</t>
  </si>
  <si>
    <t xml:space="preserve">4MXAY6IE</t>
  </si>
  <si>
    <t xml:space="preserve">5ILLL7BX</t>
  </si>
  <si>
    <t xml:space="preserve">1G7W4QOA</t>
  </si>
  <si>
    <t xml:space="preserve">4Q9D66FC</t>
  </si>
  <si>
    <t xml:space="preserve">85YJNW7Z</t>
  </si>
  <si>
    <t xml:space="preserve">3EO1QUXF</t>
  </si>
  <si>
    <t xml:space="preserve">1Y1T5K2Z</t>
  </si>
  <si>
    <t xml:space="preserve">87KN8WEU</t>
  </si>
  <si>
    <t xml:space="preserve">4VVUV3LF</t>
  </si>
  <si>
    <t xml:space="preserve">Unfulfilled</t>
  </si>
  <si>
    <t xml:space="preserve">34RW3MWX</t>
  </si>
  <si>
    <t xml:space="preserve">2VS58KHE</t>
  </si>
  <si>
    <t xml:space="preserve">1F6WGJRN</t>
  </si>
  <si>
    <t xml:space="preserve">Wadi Halfa — Vendor Purchase Orders &amp; Commission</t>
  </si>
  <si>
    <t xml:space="preserve">523FHETX</t>
  </si>
  <si>
    <t xml:space="preserve">556EF2MV</t>
  </si>
  <si>
    <t xml:space="preserve">4KDCOEYS</t>
  </si>
  <si>
    <t xml:space="preserve">5P6LCJKX</t>
  </si>
  <si>
    <t xml:space="preserve">2J8AQOKT</t>
  </si>
  <si>
    <t xml:space="preserve">6YZAV7QM</t>
  </si>
  <si>
    <t xml:space="preserve">78WHY2TK</t>
  </si>
  <si>
    <t xml:space="preserve">7WSXCEOX</t>
  </si>
  <si>
    <t xml:space="preserve">2VN7XBLN</t>
  </si>
  <si>
    <t xml:space="preserve">87FRUE2D</t>
  </si>
  <si>
    <t xml:space="preserve">4IRG4GZO</t>
  </si>
  <si>
    <t xml:space="preserve">4WXUVDTB</t>
  </si>
  <si>
    <t xml:space="preserve">58KW9C2W</t>
  </si>
  <si>
    <t xml:space="preserve">26QOXKSP</t>
  </si>
  <si>
    <t xml:space="preserve">Rejected</t>
  </si>
  <si>
    <t xml:space="preserve">3KVHT2BK</t>
  </si>
  <si>
    <t xml:space="preserve">5EOBBQRQ</t>
  </si>
  <si>
    <t xml:space="preserve">8ZI1SK8E</t>
  </si>
  <si>
    <t xml:space="preserve">PO2600607394</t>
  </si>
  <si>
    <t xml:space="preserve">Ninja Retail</t>
  </si>
  <si>
    <t xml:space="preserve">PO2600607555</t>
  </si>
  <si>
    <t xml:space="preserve">6WAWK77S</t>
  </si>
  <si>
    <t xml:space="preserve">PO2600629370</t>
  </si>
  <si>
    <t xml:space="preserve">PO2600629540</t>
  </si>
  <si>
    <t xml:space="preserve">PO2600651634</t>
  </si>
  <si>
    <t xml:space="preserve">PO2600651819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</si>
</sst>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mmm\ yyyy"/>
    <numFmt numFmtId="166" formatCode="#,##0.00"/>
    <numFmt numFmtId="167" formatCode="0%"/>
    <numFmt numFmtId="168" formatCode="m/d/yyyy"/>
    <numFmt numFmtId="169" formatCode="#,##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3864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0"/>
      <color rgb="FF9C0006"/>
      <name val="Arial"/>
      <family val="0"/>
      <charset val="1"/>
    </font>
    <font>
      <sz val="10"/>
      <color rgb="FF9C5700"/>
      <name val="Arial"/>
      <family val="0"/>
      <charset val="1"/>
    </font>
    <font>
      <sz val="10"/>
      <color rgb="FF006100"/>
      <name val="Arial"/>
      <family val="0"/>
      <charset val="1"/>
    </font>
    <font>
      <sz val="10"/>
      <color rgb="FF3F3F3F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9"/>
        <bgColor rgb="FF1F3864"/>
      </patternFill>
    </fill>
    <fill>
      <patternFill patternType="solid">
        <fgColor rgb="FFFFFF00"/>
        <bgColor rgb="FFFFFF00"/>
      </patternFill>
    </fill>
    <fill>
      <patternFill patternType="solid">
        <fgColor rgb="FFFFC7CE"/>
        <bgColor rgb="FFFFEB9C"/>
      </patternFill>
    </fill>
    <fill>
      <patternFill patternType="solid">
        <fgColor rgb="FFFFEB9C"/>
        <bgColor rgb="FFEDEDED"/>
      </patternFill>
    </fill>
    <fill>
      <patternFill patternType="solid">
        <fgColor rgb="FFC6EFCE"/>
        <bgColor rgb="FFCCFFFF"/>
      </patternFill>
    </fill>
    <fill>
      <patternFill patternType="solid">
        <fgColor rgb="FFEDEDED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  <border diagonalUp="false" diagonalDown="false">
      <left/>
      <right/>
      <top style="double">
        <color rgb="FF1F4E79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1F4E7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ill>
        <patternFill patternType="solid">
          <fgColor rgb="FF9C5700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3F3F3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DEDED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C5700"/>
      <rgbColor rgb="FF993366"/>
      <rgbColor rgb="FF1F4E79"/>
      <rgbColor rgb="FF3F3F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4" min="2" style="0" width="13"/>
    <col collapsed="false" customWidth="true" hidden="false" outlineLevel="0" max="5" min="5" style="0" width="16"/>
    <col collapsed="false" customWidth="true" hidden="false" outlineLevel="0" max="6" min="6" style="0" width="15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15" hidden="false" customHeight="false" outlineLevel="0" collapsed="false">
      <c r="A5" s="4" t="n">
        <v>45901</v>
      </c>
      <c r="B5" s="5" t="n">
        <f aca="false">SUMIFS(Marah!$L$5:$L$109,Marah!$C$5:$C$109,"&gt;="&amp;$A5,Marah!$C$5:$C$109,"&lt;"&amp;EDATE($A5,1))</f>
        <v>0</v>
      </c>
      <c r="C5" s="5" t="n">
        <f aca="false">SUMIFS(SONDOS!$L$5:$L$74,SONDOS!$C$5:$C$74,"&gt;="&amp;$A5,SONDOS!$C$5:$C$74,"&lt;"&amp;EDATE($A5,1))</f>
        <v>12.34</v>
      </c>
      <c r="D5" s="5" t="n">
        <f aca="false">SUMIFS('Wadi Halfa'!$L$5:$L$28,'Wadi Halfa'!$C$5:$C$28,"&gt;="&amp;$A5,'Wadi Halfa'!$C$5:$C$28,"&lt;"&amp;EDATE($A5,1))</f>
        <v>0</v>
      </c>
      <c r="E5" s="5" t="n">
        <f aca="false">SUM(B5:D5)</f>
        <v>12.34</v>
      </c>
      <c r="F5" s="5" t="n">
        <f aca="false">SUMIFS(Marah!$H$5:$H$109,Marah!$C$5:$C$109,"&gt;="&amp;$A5,Marah!$C$5:$C$109,"&lt;"&amp;EDATE($A5,1))+SUMIFS(SONDOS!$H$5:$H$74,SONDOS!$C$5:$C$74,"&gt;="&amp;$A5,SONDOS!$C$5:$C$74,"&lt;"&amp;EDATE($A5,1))+SUMIFS('Wadi Halfa'!$H$5:$H$28,'Wadi Halfa'!$C$5:$C$28,"&gt;="&amp;$A5,'Wadi Halfa'!$C$5:$C$28,"&lt;"&amp;EDATE($A5,1))</f>
        <v>205.6</v>
      </c>
    </row>
    <row r="6" customFormat="false" ht="15" hidden="false" customHeight="false" outlineLevel="0" collapsed="false">
      <c r="A6" s="4" t="n">
        <v>45931</v>
      </c>
      <c r="B6" s="5" t="n">
        <f aca="false">SUMIFS(Marah!$L$5:$L$109,Marah!$C$5:$C$109,"&gt;="&amp;$A6,Marah!$C$5:$C$109,"&lt;"&amp;EDATE($A6,1))</f>
        <v>23.88</v>
      </c>
      <c r="C6" s="5" t="n">
        <f aca="false">SUMIFS(SONDOS!$L$5:$L$74,SONDOS!$C$5:$C$74,"&gt;="&amp;$A6,SONDOS!$C$5:$C$74,"&lt;"&amp;EDATE($A6,1))</f>
        <v>66.1</v>
      </c>
      <c r="D6" s="5" t="n">
        <f aca="false">SUMIFS('Wadi Halfa'!$L$5:$L$28,'Wadi Halfa'!$C$5:$C$28,"&gt;="&amp;$A6,'Wadi Halfa'!$C$5:$C$28,"&lt;"&amp;EDATE($A6,1))</f>
        <v>0</v>
      </c>
      <c r="E6" s="5" t="n">
        <f aca="false">SUM(B6:D6)</f>
        <v>89.98</v>
      </c>
      <c r="F6" s="5" t="n">
        <f aca="false">SUMIFS(Marah!$H$5:$H$109,Marah!$C$5:$C$109,"&gt;="&amp;$A6,Marah!$C$5:$C$109,"&lt;"&amp;EDATE($A6,1))+SUMIFS(SONDOS!$H$5:$H$74,SONDOS!$C$5:$C$74,"&gt;="&amp;$A6,SONDOS!$C$5:$C$74,"&lt;"&amp;EDATE($A6,1))+SUMIFS('Wadi Halfa'!$H$5:$H$28,'Wadi Halfa'!$C$5:$C$28,"&gt;="&amp;$A6,'Wadi Halfa'!$C$5:$C$28,"&lt;"&amp;EDATE($A6,1))</f>
        <v>1499.6</v>
      </c>
    </row>
    <row r="7" customFormat="false" ht="15" hidden="false" customHeight="false" outlineLevel="0" collapsed="false">
      <c r="A7" s="4" t="n">
        <v>45962</v>
      </c>
      <c r="B7" s="5" t="n">
        <f aca="false">SUMIFS(Marah!$L$5:$L$109,Marah!$C$5:$C$109,"&gt;="&amp;$A7,Marah!$C$5:$C$109,"&lt;"&amp;EDATE($A7,1))</f>
        <v>141.49</v>
      </c>
      <c r="C7" s="5" t="n">
        <f aca="false">SUMIFS(SONDOS!$L$5:$L$74,SONDOS!$C$5:$C$74,"&gt;="&amp;$A7,SONDOS!$C$5:$C$74,"&lt;"&amp;EDATE($A7,1))</f>
        <v>264.59</v>
      </c>
      <c r="D7" s="5" t="n">
        <f aca="false">SUMIFS('Wadi Halfa'!$L$5:$L$28,'Wadi Halfa'!$C$5:$C$28,"&gt;="&amp;$A7,'Wadi Halfa'!$C$5:$C$28,"&lt;"&amp;EDATE($A7,1))</f>
        <v>0</v>
      </c>
      <c r="E7" s="5" t="n">
        <f aca="false">SUM(B7:D7)</f>
        <v>406.08</v>
      </c>
      <c r="F7" s="5" t="n">
        <f aca="false">SUMIFS(Marah!$H$5:$H$109,Marah!$C$5:$C$109,"&gt;="&amp;$A7,Marah!$C$5:$C$109,"&lt;"&amp;EDATE($A7,1))+SUMIFS(SONDOS!$H$5:$H$74,SONDOS!$C$5:$C$74,"&gt;="&amp;$A7,SONDOS!$C$5:$C$74,"&lt;"&amp;EDATE($A7,1))+SUMIFS('Wadi Halfa'!$H$5:$H$28,'Wadi Halfa'!$C$5:$C$28,"&gt;="&amp;$A7,'Wadi Halfa'!$C$5:$C$28,"&lt;"&amp;EDATE($A7,1))</f>
        <v>6767.9</v>
      </c>
    </row>
    <row r="8" customFormat="false" ht="15" hidden="false" customHeight="false" outlineLevel="0" collapsed="false">
      <c r="A8" s="4" t="n">
        <v>45992</v>
      </c>
      <c r="B8" s="5" t="n">
        <f aca="false">SUMIFS(Marah!$L$5:$L$109,Marah!$C$5:$C$109,"&gt;="&amp;$A8,Marah!$C$5:$C$109,"&lt;"&amp;EDATE($A8,1))</f>
        <v>125.15</v>
      </c>
      <c r="C8" s="5" t="n">
        <f aca="false">SUMIFS(SONDOS!$L$5:$L$74,SONDOS!$C$5:$C$74,"&gt;="&amp;$A8,SONDOS!$C$5:$C$74,"&lt;"&amp;EDATE($A8,1))</f>
        <v>42.83</v>
      </c>
      <c r="D8" s="5" t="n">
        <f aca="false">SUMIFS('Wadi Halfa'!$L$5:$L$28,'Wadi Halfa'!$C$5:$C$28,"&gt;="&amp;$A8,'Wadi Halfa'!$C$5:$C$28,"&lt;"&amp;EDATE($A8,1))</f>
        <v>0</v>
      </c>
      <c r="E8" s="5" t="n">
        <f aca="false">SUM(B8:D8)</f>
        <v>167.98</v>
      </c>
      <c r="F8" s="5" t="n">
        <f aca="false">SUMIFS(Marah!$H$5:$H$109,Marah!$C$5:$C$109,"&gt;="&amp;$A8,Marah!$C$5:$C$109,"&lt;"&amp;EDATE($A8,1))+SUMIFS(SONDOS!$H$5:$H$74,SONDOS!$C$5:$C$74,"&gt;="&amp;$A8,SONDOS!$C$5:$C$74,"&lt;"&amp;EDATE($A8,1))+SUMIFS('Wadi Halfa'!$H$5:$H$28,'Wadi Halfa'!$C$5:$C$28,"&gt;="&amp;$A8,'Wadi Halfa'!$C$5:$C$28,"&lt;"&amp;EDATE($A8,1))</f>
        <v>2799.6</v>
      </c>
    </row>
    <row r="9" customFormat="false" ht="15" hidden="false" customHeight="false" outlineLevel="0" collapsed="false">
      <c r="A9" s="4" t="n">
        <v>46023</v>
      </c>
      <c r="B9" s="5" t="n">
        <f aca="false">SUMIFS(Marah!$L$5:$L$109,Marah!$C$5:$C$109,"&gt;="&amp;$A9,Marah!$C$5:$C$109,"&lt;"&amp;EDATE($A9,1))</f>
        <v>275.73</v>
      </c>
      <c r="C9" s="5" t="n">
        <f aca="false">SUMIFS(SONDOS!$L$5:$L$74,SONDOS!$C$5:$C$74,"&gt;="&amp;$A9,SONDOS!$C$5:$C$74,"&lt;"&amp;EDATE($A9,1))</f>
        <v>25.32</v>
      </c>
      <c r="D9" s="5" t="n">
        <f aca="false">SUMIFS('Wadi Halfa'!$L$5:$L$28,'Wadi Halfa'!$C$5:$C$28,"&gt;="&amp;$A9,'Wadi Halfa'!$C$5:$C$28,"&lt;"&amp;EDATE($A9,1))</f>
        <v>0</v>
      </c>
      <c r="E9" s="5" t="n">
        <f aca="false">SUM(B9:D9)</f>
        <v>301.05</v>
      </c>
      <c r="F9" s="5" t="n">
        <f aca="false">SUMIFS(Marah!$H$5:$H$109,Marah!$C$5:$C$109,"&gt;="&amp;$A9,Marah!$C$5:$C$109,"&lt;"&amp;EDATE($A9,1))+SUMIFS(SONDOS!$H$5:$H$74,SONDOS!$C$5:$C$74,"&gt;="&amp;$A9,SONDOS!$C$5:$C$74,"&lt;"&amp;EDATE($A9,1))+SUMIFS('Wadi Halfa'!$H$5:$H$28,'Wadi Halfa'!$C$5:$C$28,"&gt;="&amp;$A9,'Wadi Halfa'!$C$5:$C$28,"&lt;"&amp;EDATE($A9,1))</f>
        <v>5017.4</v>
      </c>
    </row>
    <row r="10" customFormat="false" ht="15" hidden="false" customHeight="false" outlineLevel="0" collapsed="false">
      <c r="A10" s="4" t="n">
        <v>46054</v>
      </c>
      <c r="B10" s="5" t="n">
        <f aca="false">SUMIFS(Marah!$L$5:$L$109,Marah!$C$5:$C$109,"&gt;="&amp;$A10,Marah!$C$5:$C$109,"&lt;"&amp;EDATE($A10,1))</f>
        <v>176.49</v>
      </c>
      <c r="C10" s="5" t="n">
        <f aca="false">SUMIFS(SONDOS!$L$5:$L$74,SONDOS!$C$5:$C$74,"&gt;="&amp;$A10,SONDOS!$C$5:$C$74,"&lt;"&amp;EDATE($A10,1))</f>
        <v>93.96</v>
      </c>
      <c r="D10" s="5" t="n">
        <f aca="false">SUMIFS('Wadi Halfa'!$L$5:$L$28,'Wadi Halfa'!$C$5:$C$28,"&gt;="&amp;$A10,'Wadi Halfa'!$C$5:$C$28,"&lt;"&amp;EDATE($A10,1))</f>
        <v>0</v>
      </c>
      <c r="E10" s="5" t="n">
        <f aca="false">SUM(B10:D10)</f>
        <v>270.45</v>
      </c>
      <c r="F10" s="5" t="n">
        <f aca="false">SUMIFS(Marah!$H$5:$H$109,Marah!$C$5:$C$109,"&gt;="&amp;$A10,Marah!$C$5:$C$109,"&lt;"&amp;EDATE($A10,1))+SUMIFS(SONDOS!$H$5:$H$74,SONDOS!$C$5:$C$74,"&gt;="&amp;$A10,SONDOS!$C$5:$C$74,"&lt;"&amp;EDATE($A10,1))+SUMIFS('Wadi Halfa'!$H$5:$H$28,'Wadi Halfa'!$C$5:$C$28,"&gt;="&amp;$A10,'Wadi Halfa'!$C$5:$C$28,"&lt;"&amp;EDATE($A10,1))</f>
        <v>4507.64</v>
      </c>
    </row>
    <row r="11" customFormat="false" ht="15" hidden="false" customHeight="false" outlineLevel="0" collapsed="false">
      <c r="A11" s="4" t="n">
        <v>46082</v>
      </c>
      <c r="B11" s="5" t="n">
        <f aca="false">SUMIFS(Marah!$L$5:$L$109,Marah!$C$5:$C$109,"&gt;="&amp;$A11,Marah!$C$5:$C$109,"&lt;"&amp;EDATE($A11,1))</f>
        <v>98.86</v>
      </c>
      <c r="C11" s="5" t="n">
        <f aca="false">SUMIFS(SONDOS!$L$5:$L$74,SONDOS!$C$5:$C$74,"&gt;="&amp;$A11,SONDOS!$C$5:$C$74,"&lt;"&amp;EDATE($A11,1))</f>
        <v>141.06</v>
      </c>
      <c r="D11" s="5" t="n">
        <f aca="false">SUMIFS('Wadi Halfa'!$L$5:$L$28,'Wadi Halfa'!$C$5:$C$28,"&gt;="&amp;$A11,'Wadi Halfa'!$C$5:$C$28,"&lt;"&amp;EDATE($A11,1))</f>
        <v>0</v>
      </c>
      <c r="E11" s="5" t="n">
        <f aca="false">SUM(B11:D11)</f>
        <v>239.92</v>
      </c>
      <c r="F11" s="5" t="n">
        <f aca="false">SUMIFS(Marah!$H$5:$H$109,Marah!$C$5:$C$109,"&gt;="&amp;$A11,Marah!$C$5:$C$109,"&lt;"&amp;EDATE($A11,1))+SUMIFS(SONDOS!$H$5:$H$74,SONDOS!$C$5:$C$74,"&gt;="&amp;$A11,SONDOS!$C$5:$C$74,"&lt;"&amp;EDATE($A11,1))+SUMIFS('Wadi Halfa'!$H$5:$H$28,'Wadi Halfa'!$C$5:$C$28,"&gt;="&amp;$A11,'Wadi Halfa'!$C$5:$C$28,"&lt;"&amp;EDATE($A11,1))</f>
        <v>3998.8</v>
      </c>
    </row>
    <row r="12" customFormat="false" ht="15" hidden="false" customHeight="false" outlineLevel="0" collapsed="false">
      <c r="A12" s="4" t="n">
        <v>46113</v>
      </c>
      <c r="B12" s="5" t="n">
        <f aca="false">SUMIFS(Marah!$L$5:$L$109,Marah!$C$5:$C$109,"&gt;="&amp;$A12,Marah!$C$5:$C$109,"&lt;"&amp;EDATE($A12,1))</f>
        <v>558.88</v>
      </c>
      <c r="C12" s="5" t="n">
        <f aca="false">SUMIFS(SONDOS!$L$5:$L$74,SONDOS!$C$5:$C$74,"&gt;="&amp;$A12,SONDOS!$C$5:$C$74,"&lt;"&amp;EDATE($A12,1))</f>
        <v>145.71</v>
      </c>
      <c r="D12" s="5" t="n">
        <f aca="false">SUMIFS('Wadi Halfa'!$L$5:$L$28,'Wadi Halfa'!$C$5:$C$28,"&gt;="&amp;$A12,'Wadi Halfa'!$C$5:$C$28,"&lt;"&amp;EDATE($A12,1))</f>
        <v>0</v>
      </c>
      <c r="E12" s="5" t="n">
        <f aca="false">SUM(B12:D12)</f>
        <v>704.59</v>
      </c>
      <c r="F12" s="5" t="n">
        <f aca="false">SUMIFS(Marah!$H$5:$H$109,Marah!$C$5:$C$109,"&gt;="&amp;$A12,Marah!$C$5:$C$109,"&lt;"&amp;EDATE($A12,1))+SUMIFS(SONDOS!$H$5:$H$74,SONDOS!$C$5:$C$74,"&gt;="&amp;$A12,SONDOS!$C$5:$C$74,"&lt;"&amp;EDATE($A12,1))+SUMIFS('Wadi Halfa'!$H$5:$H$28,'Wadi Halfa'!$C$5:$C$28,"&gt;="&amp;$A12,'Wadi Halfa'!$C$5:$C$28,"&lt;"&amp;EDATE($A12,1))</f>
        <v>11743.24</v>
      </c>
    </row>
    <row r="13" customFormat="false" ht="15" hidden="false" customHeight="false" outlineLevel="0" collapsed="false">
      <c r="A13" s="4" t="n">
        <v>46143</v>
      </c>
      <c r="B13" s="5" t="n">
        <f aca="false">SUMIFS(Marah!$L$5:$L$109,Marah!$C$5:$C$109,"&gt;="&amp;$A13,Marah!$C$5:$C$109,"&lt;"&amp;EDATE($A13,1))</f>
        <v>376.86</v>
      </c>
      <c r="C13" s="5" t="n">
        <f aca="false">SUMIFS(SONDOS!$L$5:$L$74,SONDOS!$C$5:$C$74,"&gt;="&amp;$A13,SONDOS!$C$5:$C$74,"&lt;"&amp;EDATE($A13,1))</f>
        <v>139.53</v>
      </c>
      <c r="D13" s="5" t="n">
        <f aca="false">SUMIFS('Wadi Halfa'!$L$5:$L$28,'Wadi Halfa'!$C$5:$C$28,"&gt;="&amp;$A13,'Wadi Halfa'!$C$5:$C$28,"&lt;"&amp;EDATE($A13,1))</f>
        <v>0</v>
      </c>
      <c r="E13" s="5" t="n">
        <f aca="false">SUM(B13:D13)</f>
        <v>516.39</v>
      </c>
      <c r="F13" s="5" t="n">
        <f aca="false">SUMIFS(Marah!$H$5:$H$109,Marah!$C$5:$C$109,"&gt;="&amp;$A13,Marah!$C$5:$C$109,"&lt;"&amp;EDATE($A13,1))+SUMIFS(SONDOS!$H$5:$H$74,SONDOS!$C$5:$C$74,"&gt;="&amp;$A13,SONDOS!$C$5:$C$74,"&lt;"&amp;EDATE($A13,1))+SUMIFS('Wadi Halfa'!$H$5:$H$28,'Wadi Halfa'!$C$5:$C$28,"&gt;="&amp;$A13,'Wadi Halfa'!$C$5:$C$28,"&lt;"&amp;EDATE($A13,1))</f>
        <v>8606.9</v>
      </c>
    </row>
    <row r="14" customFormat="false" ht="15" hidden="false" customHeight="false" outlineLevel="0" collapsed="false">
      <c r="A14" s="4" t="n">
        <v>46174</v>
      </c>
      <c r="B14" s="5" t="n">
        <f aca="false">SUMIFS(Marah!$L$5:$L$109,Marah!$C$5:$C$109,"&gt;="&amp;$A14,Marah!$C$5:$C$109,"&lt;"&amp;EDATE($A14,1))</f>
        <v>145.79</v>
      </c>
      <c r="C14" s="5" t="n">
        <f aca="false">SUMIFS(SONDOS!$L$5:$L$74,SONDOS!$C$5:$C$74,"&gt;="&amp;$A14,SONDOS!$C$5:$C$74,"&lt;"&amp;EDATE($A14,1))</f>
        <v>105.06</v>
      </c>
      <c r="D14" s="5" t="n">
        <f aca="false">SUMIFS('Wadi Halfa'!$L$5:$L$28,'Wadi Halfa'!$C$5:$C$28,"&gt;="&amp;$A14,'Wadi Halfa'!$C$5:$C$28,"&lt;"&amp;EDATE($A14,1))</f>
        <v>38.15</v>
      </c>
      <c r="E14" s="5" t="n">
        <f aca="false">SUM(B14:D14)</f>
        <v>289</v>
      </c>
      <c r="F14" s="5" t="n">
        <f aca="false">SUMIFS(Marah!$H$5:$H$109,Marah!$C$5:$C$109,"&gt;="&amp;$A14,Marah!$C$5:$C$109,"&lt;"&amp;EDATE($A14,1))+SUMIFS(SONDOS!$H$5:$H$74,SONDOS!$C$5:$C$74,"&gt;="&amp;$A14,SONDOS!$C$5:$C$74,"&lt;"&amp;EDATE($A14,1))+SUMIFS('Wadi Halfa'!$H$5:$H$28,'Wadi Halfa'!$C$5:$C$28,"&gt;="&amp;$A14,'Wadi Halfa'!$C$5:$C$28,"&lt;"&amp;EDATE($A14,1))</f>
        <v>5134.95</v>
      </c>
    </row>
    <row r="15" customFormat="false" ht="15" hidden="false" customHeight="false" outlineLevel="0" collapsed="false">
      <c r="A15" s="4" t="n">
        <v>46204</v>
      </c>
      <c r="B15" s="5" t="n">
        <f aca="false">SUMIFS(Marah!$L$5:$L$109,Marah!$C$5:$C$109,"&gt;="&amp;$A15,Marah!$C$5:$C$109,"&lt;"&amp;EDATE($A15,1))</f>
        <v>326.71</v>
      </c>
      <c r="C15" s="5" t="n">
        <f aca="false">SUMIFS(SONDOS!$L$5:$L$74,SONDOS!$C$5:$C$74,"&gt;="&amp;$A15,SONDOS!$C$5:$C$74,"&lt;"&amp;EDATE($A15,1))</f>
        <v>35.35</v>
      </c>
      <c r="D15" s="5" t="n">
        <f aca="false">SUMIFS('Wadi Halfa'!$L$5:$L$28,'Wadi Halfa'!$C$5:$C$28,"&gt;="&amp;$A15,'Wadi Halfa'!$C$5:$C$28,"&lt;"&amp;EDATE($A15,1))</f>
        <v>151.02</v>
      </c>
      <c r="E15" s="5" t="n">
        <f aca="false">SUM(B15:D15)</f>
        <v>513.08</v>
      </c>
      <c r="F15" s="5" t="n">
        <f aca="false">SUMIFS(Marah!$H$5:$H$109,Marah!$C$5:$C$109,"&gt;="&amp;$A15,Marah!$C$5:$C$109,"&lt;"&amp;EDATE($A15,1))+SUMIFS(SONDOS!$H$5:$H$74,SONDOS!$C$5:$C$74,"&gt;="&amp;$A15,SONDOS!$C$5:$C$74,"&lt;"&amp;EDATE($A15,1))+SUMIFS('Wadi Halfa'!$H$5:$H$28,'Wadi Halfa'!$C$5:$C$28,"&gt;="&amp;$A15,'Wadi Halfa'!$C$5:$C$28,"&lt;"&amp;EDATE($A15,1))</f>
        <v>9809.94</v>
      </c>
    </row>
    <row r="16" customFormat="false" ht="15" hidden="false" customHeight="false" outlineLevel="0" collapsed="false">
      <c r="A16" s="4" t="n">
        <v>46235</v>
      </c>
      <c r="B16" s="5" t="n">
        <f aca="false">SUMIFS(Marah!$L$5:$L$109,Marah!$C$5:$C$109,"&gt;="&amp;$A16,Marah!$C$5:$C$109,"&lt;"&amp;EDATE($A16,1))</f>
        <v>55.85</v>
      </c>
      <c r="C16" s="5" t="n">
        <f aca="false">SUMIFS(SONDOS!$L$5:$L$74,SONDOS!$C$5:$C$74,"&gt;="&amp;$A16,SONDOS!$C$5:$C$74,"&lt;"&amp;EDATE($A16,1))</f>
        <v>14.69</v>
      </c>
      <c r="D16" s="5" t="n">
        <f aca="false">SUMIFS('Wadi Halfa'!$L$5:$L$28,'Wadi Halfa'!$C$5:$C$28,"&gt;="&amp;$A16,'Wadi Halfa'!$C$5:$C$28,"&lt;"&amp;EDATE($A16,1))</f>
        <v>128.95</v>
      </c>
      <c r="E16" s="5" t="n">
        <f aca="false">SUM(B16:D16)</f>
        <v>199.49</v>
      </c>
      <c r="F16" s="5" t="n">
        <f aca="false">SUMIFS(Marah!$H$5:$H$109,Marah!$C$5:$C$109,"&gt;="&amp;$A16,Marah!$C$5:$C$109,"&lt;"&amp;EDATE($A16,1))+SUMIFS(SONDOS!$H$5:$H$74,SONDOS!$C$5:$C$74,"&gt;="&amp;$A16,SONDOS!$C$5:$C$74,"&lt;"&amp;EDATE($A16,1))+SUMIFS('Wadi Halfa'!$H$5:$H$28,'Wadi Halfa'!$C$5:$C$28,"&gt;="&amp;$A16,'Wadi Halfa'!$C$5:$C$28,"&lt;"&amp;EDATE($A16,1))</f>
        <v>4399.37</v>
      </c>
    </row>
    <row r="17" customFormat="false" ht="15" hidden="false" customHeight="false" outlineLevel="0" collapsed="false">
      <c r="A17" s="6" t="s">
        <v>8</v>
      </c>
      <c r="B17" s="7" t="n">
        <f aca="false">SUM(B5:B16)</f>
        <v>2305.69</v>
      </c>
      <c r="C17" s="7" t="n">
        <f aca="false">SUM(C5:C16)</f>
        <v>1086.54</v>
      </c>
      <c r="D17" s="7" t="n">
        <f aca="false">SUM(D5:D16)</f>
        <v>318.12</v>
      </c>
      <c r="E17" s="7" t="n">
        <f aca="false">SUM(E5:E16)</f>
        <v>3710.35</v>
      </c>
      <c r="F17" s="7" t="n">
        <f aca="false">SUM(F5:F16)</f>
        <v>64490.94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3"/>
    <col collapsed="false" customWidth="true" hidden="false" outlineLevel="0" max="3" min="3" style="0" width="11.5"/>
    <col collapsed="false" customWidth="true" hidden="false" outlineLevel="0" max="4" min="4" style="0" width="13"/>
    <col collapsed="false" customWidth="true" hidden="false" outlineLevel="0" max="5" min="5" style="0" width="7"/>
    <col collapsed="false" customWidth="true" hidden="false" outlineLevel="0" max="6" min="6" style="0" width="8"/>
    <col collapsed="false" customWidth="true" hidden="false" outlineLevel="0" max="8" min="7" style="0" width="14"/>
    <col collapsed="false" customWidth="true" hidden="false" outlineLevel="0" max="10" min="9" style="0" width="9"/>
    <col collapsed="false" customWidth="true" hidden="false" outlineLevel="0" max="11" min="11" style="0" width="11.5"/>
    <col collapsed="false" customWidth="true" hidden="false" outlineLevel="0" max="12" min="12" style="0" width="15"/>
  </cols>
  <sheetData>
    <row r="1" customFormat="false" ht="16.15" hidden="false" customHeight="false" outlineLevel="0" collapsed="false">
      <c r="A1" s="1" t="s">
        <v>9</v>
      </c>
    </row>
    <row r="2" customFormat="false" ht="15" hidden="false" customHeight="false" outlineLevel="0" collapsed="false">
      <c r="A2" s="8" t="s">
        <v>10</v>
      </c>
      <c r="B2" s="9" t="n">
        <v>0.06</v>
      </c>
      <c r="D2" s="2" t="s">
        <v>11</v>
      </c>
    </row>
    <row r="4" customFormat="false" ht="15" hidden="false" customHeight="false" outlineLevel="0" collapsed="false">
      <c r="A4" s="3" t="s">
        <v>12</v>
      </c>
      <c r="B4" s="3" t="s">
        <v>13</v>
      </c>
      <c r="C4" s="3" t="s">
        <v>14</v>
      </c>
      <c r="D4" s="3" t="s">
        <v>15</v>
      </c>
      <c r="E4" s="3" t="s">
        <v>16</v>
      </c>
      <c r="F4" s="3" t="s">
        <v>17</v>
      </c>
      <c r="G4" s="3" t="s">
        <v>18</v>
      </c>
      <c r="H4" s="3" t="s">
        <v>19</v>
      </c>
      <c r="I4" s="3" t="s">
        <v>20</v>
      </c>
      <c r="J4" s="3" t="s">
        <v>21</v>
      </c>
      <c r="K4" s="3" t="s">
        <v>22</v>
      </c>
      <c r="L4" s="3" t="s">
        <v>23</v>
      </c>
    </row>
    <row r="5" customFormat="false" ht="15" hidden="false" customHeight="false" outlineLevel="0" collapsed="false">
      <c r="A5" s="10" t="s">
        <v>24</v>
      </c>
      <c r="B5" s="10" t="s">
        <v>25</v>
      </c>
      <c r="C5" s="11" t="n">
        <v>45914</v>
      </c>
      <c r="D5" s="11" t="n">
        <v>46082</v>
      </c>
      <c r="E5" s="10" t="s">
        <v>26</v>
      </c>
      <c r="F5" s="12" t="n">
        <v>76</v>
      </c>
      <c r="G5" s="5" t="n">
        <v>2138.4</v>
      </c>
      <c r="H5" s="5" t="n">
        <v>0</v>
      </c>
      <c r="I5" s="13" t="n">
        <v>0</v>
      </c>
      <c r="J5" s="13" t="n">
        <v>0</v>
      </c>
      <c r="K5" s="14" t="s">
        <v>27</v>
      </c>
      <c r="L5" s="5" t="n">
        <f aca="false">ROUND(H5*$B$2,2)</f>
        <v>0</v>
      </c>
    </row>
    <row r="6" customFormat="false" ht="15" hidden="false" customHeight="false" outlineLevel="0" collapsed="false">
      <c r="A6" s="10" t="s">
        <v>28</v>
      </c>
      <c r="B6" s="10" t="s">
        <v>25</v>
      </c>
      <c r="C6" s="11" t="n">
        <v>45925</v>
      </c>
      <c r="D6" s="11" t="n">
        <v>46082</v>
      </c>
      <c r="E6" s="10" t="s">
        <v>26</v>
      </c>
      <c r="F6" s="12" t="n">
        <v>5</v>
      </c>
      <c r="G6" s="5" t="n">
        <v>55</v>
      </c>
      <c r="H6" s="5" t="n">
        <v>0</v>
      </c>
      <c r="I6" s="13" t="n">
        <v>1</v>
      </c>
      <c r="J6" s="13" t="n">
        <v>0</v>
      </c>
      <c r="K6" s="14" t="s">
        <v>27</v>
      </c>
      <c r="L6" s="5" t="n">
        <f aca="false">ROUND(H6*$B$2,2)</f>
        <v>0</v>
      </c>
    </row>
    <row r="7" customFormat="false" ht="15" hidden="false" customHeight="false" outlineLevel="0" collapsed="false">
      <c r="A7" s="10" t="s">
        <v>29</v>
      </c>
      <c r="B7" s="10" t="s">
        <v>25</v>
      </c>
      <c r="C7" s="11" t="n">
        <v>45928</v>
      </c>
      <c r="D7" s="11" t="n">
        <v>46082</v>
      </c>
      <c r="E7" s="10" t="s">
        <v>26</v>
      </c>
      <c r="F7" s="12" t="n">
        <v>5</v>
      </c>
      <c r="G7" s="5" t="n">
        <v>55</v>
      </c>
      <c r="H7" s="5" t="n">
        <v>0</v>
      </c>
      <c r="I7" s="13" t="n">
        <v>1</v>
      </c>
      <c r="J7" s="13" t="n">
        <v>0</v>
      </c>
      <c r="K7" s="14" t="s">
        <v>27</v>
      </c>
      <c r="L7" s="5" t="n">
        <f aca="false">ROUND(H7*$B$2,2)</f>
        <v>0</v>
      </c>
    </row>
    <row r="8" customFormat="false" ht="15" hidden="false" customHeight="false" outlineLevel="0" collapsed="false">
      <c r="A8" s="10" t="s">
        <v>30</v>
      </c>
      <c r="B8" s="10" t="s">
        <v>25</v>
      </c>
      <c r="C8" s="11" t="n">
        <v>45935</v>
      </c>
      <c r="D8" s="11" t="n">
        <v>46082</v>
      </c>
      <c r="E8" s="10" t="s">
        <v>26</v>
      </c>
      <c r="F8" s="12" t="n">
        <v>36</v>
      </c>
      <c r="G8" s="5" t="n">
        <v>1279.2</v>
      </c>
      <c r="H8" s="5" t="n">
        <v>0</v>
      </c>
      <c r="I8" s="13" t="n">
        <v>0</v>
      </c>
      <c r="J8" s="13" t="n">
        <v>0</v>
      </c>
      <c r="K8" s="14" t="s">
        <v>27</v>
      </c>
      <c r="L8" s="5" t="n">
        <f aca="false">ROUND(H8*$B$2,2)</f>
        <v>0</v>
      </c>
    </row>
    <row r="9" customFormat="false" ht="15" hidden="false" customHeight="false" outlineLevel="0" collapsed="false">
      <c r="A9" s="10" t="s">
        <v>31</v>
      </c>
      <c r="B9" s="10" t="s">
        <v>25</v>
      </c>
      <c r="C9" s="11" t="n">
        <v>45935</v>
      </c>
      <c r="D9" s="11" t="n">
        <v>46082</v>
      </c>
      <c r="E9" s="10" t="s">
        <v>32</v>
      </c>
      <c r="F9" s="12" t="n">
        <v>5</v>
      </c>
      <c r="G9" s="5" t="n">
        <v>55</v>
      </c>
      <c r="H9" s="5" t="n">
        <v>0</v>
      </c>
      <c r="I9" s="13" t="n">
        <v>0</v>
      </c>
      <c r="J9" s="13" t="n">
        <v>0</v>
      </c>
      <c r="K9" s="14" t="s">
        <v>27</v>
      </c>
      <c r="L9" s="5" t="n">
        <f aca="false">ROUND(H9*$B$2,2)</f>
        <v>0</v>
      </c>
    </row>
    <row r="10" customFormat="false" ht="15" hidden="false" customHeight="false" outlineLevel="0" collapsed="false">
      <c r="A10" s="10" t="s">
        <v>33</v>
      </c>
      <c r="B10" s="10" t="s">
        <v>25</v>
      </c>
      <c r="C10" s="11" t="n">
        <v>45942</v>
      </c>
      <c r="D10" s="11" t="n">
        <v>46022</v>
      </c>
      <c r="E10" s="10" t="s">
        <v>26</v>
      </c>
      <c r="F10" s="12" t="n">
        <v>21</v>
      </c>
      <c r="G10" s="5" t="n">
        <v>609.4</v>
      </c>
      <c r="H10" s="5" t="n">
        <v>288</v>
      </c>
      <c r="I10" s="13" t="n">
        <v>1</v>
      </c>
      <c r="J10" s="13" t="n">
        <v>0.47</v>
      </c>
      <c r="K10" s="14" t="s">
        <v>27</v>
      </c>
      <c r="L10" s="5" t="n">
        <f aca="false">ROUND(H10*$B$2,2)</f>
        <v>17.28</v>
      </c>
    </row>
    <row r="11" customFormat="false" ht="15" hidden="false" customHeight="false" outlineLevel="0" collapsed="false">
      <c r="A11" s="10" t="s">
        <v>34</v>
      </c>
      <c r="B11" s="10" t="s">
        <v>25</v>
      </c>
      <c r="C11" s="11" t="n">
        <v>45942</v>
      </c>
      <c r="D11" s="11" t="n">
        <v>45963</v>
      </c>
      <c r="E11" s="10" t="s">
        <v>32</v>
      </c>
      <c r="F11" s="12" t="n">
        <v>20</v>
      </c>
      <c r="G11" s="5" t="n">
        <v>223.5</v>
      </c>
      <c r="H11" s="5" t="n">
        <v>110</v>
      </c>
      <c r="I11" s="13" t="n">
        <v>1</v>
      </c>
      <c r="J11" s="13" t="n">
        <v>0.49</v>
      </c>
      <c r="K11" s="15" t="s">
        <v>35</v>
      </c>
      <c r="L11" s="5" t="n">
        <f aca="false">ROUND(H11*$B$2,2)</f>
        <v>6.6</v>
      </c>
    </row>
    <row r="12" customFormat="false" ht="15" hidden="false" customHeight="false" outlineLevel="0" collapsed="false">
      <c r="A12" s="10" t="s">
        <v>36</v>
      </c>
      <c r="B12" s="10" t="s">
        <v>25</v>
      </c>
      <c r="C12" s="11" t="n">
        <v>45949</v>
      </c>
      <c r="D12" s="11" t="n">
        <v>46082</v>
      </c>
      <c r="E12" s="10" t="s">
        <v>26</v>
      </c>
      <c r="F12" s="12" t="n">
        <v>128</v>
      </c>
      <c r="G12" s="5" t="n">
        <v>898.1</v>
      </c>
      <c r="H12" s="5" t="n">
        <v>0</v>
      </c>
      <c r="I12" s="13" t="n">
        <v>0</v>
      </c>
      <c r="J12" s="13" t="n">
        <v>0</v>
      </c>
      <c r="K12" s="14" t="s">
        <v>27</v>
      </c>
      <c r="L12" s="5" t="n">
        <f aca="false">ROUND(H12*$B$2,2)</f>
        <v>0</v>
      </c>
    </row>
    <row r="13" customFormat="false" ht="15" hidden="false" customHeight="false" outlineLevel="0" collapsed="false">
      <c r="A13" s="10" t="s">
        <v>37</v>
      </c>
      <c r="B13" s="10" t="s">
        <v>25</v>
      </c>
      <c r="C13" s="11" t="n">
        <v>45949</v>
      </c>
      <c r="D13" s="11" t="n">
        <v>46082</v>
      </c>
      <c r="E13" s="10" t="s">
        <v>32</v>
      </c>
      <c r="F13" s="12" t="n">
        <v>320</v>
      </c>
      <c r="G13" s="5" t="n">
        <v>1911.5</v>
      </c>
      <c r="H13" s="5" t="n">
        <v>0</v>
      </c>
      <c r="I13" s="13" t="n">
        <v>0</v>
      </c>
      <c r="J13" s="13" t="n">
        <v>0</v>
      </c>
      <c r="K13" s="14" t="s">
        <v>27</v>
      </c>
      <c r="L13" s="5" t="n">
        <f aca="false">ROUND(H13*$B$2,2)</f>
        <v>0</v>
      </c>
    </row>
    <row r="14" customFormat="false" ht="15" hidden="false" customHeight="false" outlineLevel="0" collapsed="false">
      <c r="A14" s="10" t="s">
        <v>38</v>
      </c>
      <c r="B14" s="10" t="s">
        <v>25</v>
      </c>
      <c r="C14" s="11" t="n">
        <v>45951</v>
      </c>
      <c r="D14" s="11" t="n">
        <v>46082</v>
      </c>
      <c r="E14" s="10" t="s">
        <v>32</v>
      </c>
      <c r="F14" s="12" t="n">
        <v>2</v>
      </c>
      <c r="G14" s="5" t="n">
        <v>51.6</v>
      </c>
      <c r="H14" s="5" t="n">
        <v>0</v>
      </c>
      <c r="I14" s="13" t="n">
        <v>0</v>
      </c>
      <c r="J14" s="13" t="n">
        <v>0</v>
      </c>
      <c r="K14" s="14" t="s">
        <v>27</v>
      </c>
      <c r="L14" s="5" t="n">
        <f aca="false">ROUND(H14*$B$2,2)</f>
        <v>0</v>
      </c>
    </row>
    <row r="15" customFormat="false" ht="15" hidden="false" customHeight="false" outlineLevel="0" collapsed="false">
      <c r="A15" s="10" t="s">
        <v>39</v>
      </c>
      <c r="B15" s="10" t="s">
        <v>25</v>
      </c>
      <c r="C15" s="11" t="n">
        <v>45956</v>
      </c>
      <c r="D15" s="11" t="n">
        <v>46082</v>
      </c>
      <c r="E15" s="10" t="s">
        <v>26</v>
      </c>
      <c r="F15" s="12" t="n">
        <v>123</v>
      </c>
      <c r="G15" s="5" t="n">
        <v>892.7</v>
      </c>
      <c r="H15" s="5" t="n">
        <v>0</v>
      </c>
      <c r="I15" s="13" t="n">
        <v>0</v>
      </c>
      <c r="J15" s="13" t="n">
        <v>0</v>
      </c>
      <c r="K15" s="14" t="s">
        <v>27</v>
      </c>
      <c r="L15" s="5" t="n">
        <f aca="false">ROUND(H15*$B$2,2)</f>
        <v>0</v>
      </c>
    </row>
    <row r="16" customFormat="false" ht="15" hidden="false" customHeight="false" outlineLevel="0" collapsed="false">
      <c r="A16" s="10" t="s">
        <v>40</v>
      </c>
      <c r="B16" s="10" t="s">
        <v>25</v>
      </c>
      <c r="C16" s="11" t="n">
        <v>45956</v>
      </c>
      <c r="D16" s="11" t="n">
        <v>46082</v>
      </c>
      <c r="E16" s="10" t="s">
        <v>32</v>
      </c>
      <c r="F16" s="12" t="n">
        <v>281</v>
      </c>
      <c r="G16" s="5" t="n">
        <v>1582.7</v>
      </c>
      <c r="H16" s="5" t="n">
        <v>0</v>
      </c>
      <c r="I16" s="13" t="n">
        <v>0</v>
      </c>
      <c r="J16" s="13" t="n">
        <v>0</v>
      </c>
      <c r="K16" s="14" t="s">
        <v>27</v>
      </c>
      <c r="L16" s="5" t="n">
        <f aca="false">ROUND(H16*$B$2,2)</f>
        <v>0</v>
      </c>
    </row>
    <row r="17" customFormat="false" ht="15" hidden="false" customHeight="false" outlineLevel="0" collapsed="false">
      <c r="A17" s="10" t="s">
        <v>41</v>
      </c>
      <c r="B17" s="10" t="s">
        <v>25</v>
      </c>
      <c r="C17" s="11" t="n">
        <v>45963</v>
      </c>
      <c r="D17" s="11" t="n">
        <v>46082</v>
      </c>
      <c r="E17" s="10" t="s">
        <v>32</v>
      </c>
      <c r="F17" s="12" t="n">
        <v>407</v>
      </c>
      <c r="G17" s="5" t="n">
        <v>2281.9</v>
      </c>
      <c r="H17" s="5" t="n">
        <v>0</v>
      </c>
      <c r="I17" s="13" t="n">
        <v>0</v>
      </c>
      <c r="J17" s="13" t="n">
        <v>0</v>
      </c>
      <c r="K17" s="14" t="s">
        <v>27</v>
      </c>
      <c r="L17" s="5" t="n">
        <f aca="false">ROUND(H17*$B$2,2)</f>
        <v>0</v>
      </c>
    </row>
    <row r="18" customFormat="false" ht="15" hidden="false" customHeight="false" outlineLevel="0" collapsed="false">
      <c r="A18" s="10" t="s">
        <v>42</v>
      </c>
      <c r="B18" s="10" t="s">
        <v>25</v>
      </c>
      <c r="C18" s="11" t="n">
        <v>45963</v>
      </c>
      <c r="D18" s="11" t="n">
        <v>46082</v>
      </c>
      <c r="E18" s="10" t="s">
        <v>26</v>
      </c>
      <c r="F18" s="12" t="n">
        <v>513</v>
      </c>
      <c r="G18" s="5" t="n">
        <v>3240.2</v>
      </c>
      <c r="H18" s="5" t="n">
        <v>0</v>
      </c>
      <c r="I18" s="13" t="n">
        <v>0</v>
      </c>
      <c r="J18" s="13" t="n">
        <v>0</v>
      </c>
      <c r="K18" s="14" t="s">
        <v>27</v>
      </c>
      <c r="L18" s="5" t="n">
        <f aca="false">ROUND(H18*$B$2,2)</f>
        <v>0</v>
      </c>
    </row>
    <row r="19" customFormat="false" ht="15" hidden="false" customHeight="false" outlineLevel="0" collapsed="false">
      <c r="A19" s="10" t="s">
        <v>43</v>
      </c>
      <c r="B19" s="10" t="s">
        <v>25</v>
      </c>
      <c r="C19" s="11" t="n">
        <v>45967</v>
      </c>
      <c r="D19" s="11" t="n">
        <v>46082</v>
      </c>
      <c r="E19" s="10" t="s">
        <v>32</v>
      </c>
      <c r="F19" s="12" t="n">
        <v>2</v>
      </c>
      <c r="G19" s="5" t="n">
        <v>72</v>
      </c>
      <c r="H19" s="5" t="n">
        <v>0</v>
      </c>
      <c r="I19" s="13" t="n">
        <v>0</v>
      </c>
      <c r="J19" s="13" t="n">
        <v>0</v>
      </c>
      <c r="K19" s="14" t="s">
        <v>27</v>
      </c>
      <c r="L19" s="5" t="n">
        <f aca="false">ROUND(H19*$B$2,2)</f>
        <v>0</v>
      </c>
    </row>
    <row r="20" customFormat="false" ht="15" hidden="false" customHeight="false" outlineLevel="0" collapsed="false">
      <c r="A20" s="10" t="s">
        <v>44</v>
      </c>
      <c r="B20" s="10" t="s">
        <v>25</v>
      </c>
      <c r="C20" s="11" t="n">
        <v>45967</v>
      </c>
      <c r="D20" s="11" t="n">
        <v>46082</v>
      </c>
      <c r="E20" s="10" t="s">
        <v>26</v>
      </c>
      <c r="F20" s="12" t="n">
        <v>2</v>
      </c>
      <c r="G20" s="5" t="n">
        <v>72</v>
      </c>
      <c r="H20" s="5" t="n">
        <v>0</v>
      </c>
      <c r="I20" s="13" t="n">
        <v>0</v>
      </c>
      <c r="J20" s="13" t="n">
        <v>0</v>
      </c>
      <c r="K20" s="14" t="s">
        <v>27</v>
      </c>
      <c r="L20" s="5" t="n">
        <f aca="false">ROUND(H20*$B$2,2)</f>
        <v>0</v>
      </c>
    </row>
    <row r="21" customFormat="false" ht="15" hidden="false" customHeight="false" outlineLevel="0" collapsed="false">
      <c r="A21" s="10" t="s">
        <v>45</v>
      </c>
      <c r="B21" s="10" t="s">
        <v>25</v>
      </c>
      <c r="C21" s="11" t="n">
        <v>45970</v>
      </c>
      <c r="D21" s="11" t="n">
        <v>46082</v>
      </c>
      <c r="E21" s="10" t="s">
        <v>32</v>
      </c>
      <c r="F21" s="12" t="n">
        <v>566</v>
      </c>
      <c r="G21" s="5" t="n">
        <v>3143.5</v>
      </c>
      <c r="H21" s="5" t="n">
        <v>0</v>
      </c>
      <c r="I21" s="13" t="n">
        <v>0</v>
      </c>
      <c r="J21" s="13" t="n">
        <v>0</v>
      </c>
      <c r="K21" s="14" t="s">
        <v>27</v>
      </c>
      <c r="L21" s="5" t="n">
        <f aca="false">ROUND(H21*$B$2,2)</f>
        <v>0</v>
      </c>
    </row>
    <row r="22" customFormat="false" ht="15" hidden="false" customHeight="false" outlineLevel="0" collapsed="false">
      <c r="A22" s="10" t="s">
        <v>46</v>
      </c>
      <c r="B22" s="10" t="s">
        <v>25</v>
      </c>
      <c r="C22" s="11" t="n">
        <v>45970</v>
      </c>
      <c r="D22" s="11" t="n">
        <v>46082</v>
      </c>
      <c r="E22" s="10" t="s">
        <v>26</v>
      </c>
      <c r="F22" s="12" t="n">
        <v>573</v>
      </c>
      <c r="G22" s="5" t="n">
        <v>3586.4</v>
      </c>
      <c r="H22" s="5" t="n">
        <v>0</v>
      </c>
      <c r="I22" s="13" t="n">
        <v>0</v>
      </c>
      <c r="J22" s="13" t="n">
        <v>0</v>
      </c>
      <c r="K22" s="14" t="s">
        <v>27</v>
      </c>
      <c r="L22" s="5" t="n">
        <f aca="false">ROUND(H22*$B$2,2)</f>
        <v>0</v>
      </c>
    </row>
    <row r="23" customFormat="false" ht="15" hidden="false" customHeight="false" outlineLevel="0" collapsed="false">
      <c r="A23" s="10" t="s">
        <v>47</v>
      </c>
      <c r="B23" s="10" t="s">
        <v>25</v>
      </c>
      <c r="C23" s="11" t="n">
        <v>45971</v>
      </c>
      <c r="D23" s="11" t="n">
        <v>46082</v>
      </c>
      <c r="E23" s="10" t="s">
        <v>26</v>
      </c>
      <c r="F23" s="12" t="n">
        <v>3</v>
      </c>
      <c r="G23" s="5" t="n">
        <v>108</v>
      </c>
      <c r="H23" s="5" t="n">
        <v>0</v>
      </c>
      <c r="I23" s="13" t="n">
        <v>0</v>
      </c>
      <c r="J23" s="13" t="n">
        <v>0</v>
      </c>
      <c r="K23" s="14" t="s">
        <v>27</v>
      </c>
      <c r="L23" s="5" t="n">
        <f aca="false">ROUND(H23*$B$2,2)</f>
        <v>0</v>
      </c>
    </row>
    <row r="24" customFormat="false" ht="15" hidden="false" customHeight="false" outlineLevel="0" collapsed="false">
      <c r="A24" s="10" t="s">
        <v>48</v>
      </c>
      <c r="B24" s="10" t="s">
        <v>25</v>
      </c>
      <c r="C24" s="11" t="n">
        <v>45971</v>
      </c>
      <c r="D24" s="11" t="n">
        <v>46082</v>
      </c>
      <c r="E24" s="10" t="s">
        <v>32</v>
      </c>
      <c r="F24" s="12" t="n">
        <v>1</v>
      </c>
      <c r="G24" s="5" t="n">
        <v>36</v>
      </c>
      <c r="H24" s="5" t="n">
        <v>0</v>
      </c>
      <c r="I24" s="13" t="n">
        <v>0</v>
      </c>
      <c r="J24" s="13" t="n">
        <v>0</v>
      </c>
      <c r="K24" s="14" t="s">
        <v>27</v>
      </c>
      <c r="L24" s="5" t="n">
        <f aca="false">ROUND(H24*$B$2,2)</f>
        <v>0</v>
      </c>
    </row>
    <row r="25" customFormat="false" ht="15" hidden="false" customHeight="false" outlineLevel="0" collapsed="false">
      <c r="A25" s="10" t="s">
        <v>49</v>
      </c>
      <c r="B25" s="10" t="s">
        <v>25</v>
      </c>
      <c r="C25" s="11" t="n">
        <v>45977</v>
      </c>
      <c r="D25" s="11" t="n">
        <v>46082</v>
      </c>
      <c r="E25" s="10" t="s">
        <v>26</v>
      </c>
      <c r="F25" s="12" t="n">
        <v>19</v>
      </c>
      <c r="G25" s="5" t="n">
        <v>474.8</v>
      </c>
      <c r="H25" s="5" t="n">
        <v>0</v>
      </c>
      <c r="I25" s="13" t="n">
        <v>0</v>
      </c>
      <c r="J25" s="13" t="n">
        <v>0</v>
      </c>
      <c r="K25" s="14" t="s">
        <v>27</v>
      </c>
      <c r="L25" s="5" t="n">
        <f aca="false">ROUND(H25*$B$2,2)</f>
        <v>0</v>
      </c>
    </row>
    <row r="26" customFormat="false" ht="15" hidden="false" customHeight="false" outlineLevel="0" collapsed="false">
      <c r="A26" s="10" t="s">
        <v>50</v>
      </c>
      <c r="B26" s="10" t="s">
        <v>25</v>
      </c>
      <c r="C26" s="11" t="n">
        <v>45977</v>
      </c>
      <c r="D26" s="11" t="n">
        <v>46082</v>
      </c>
      <c r="E26" s="10" t="s">
        <v>32</v>
      </c>
      <c r="F26" s="12" t="n">
        <v>17</v>
      </c>
      <c r="G26" s="5" t="n">
        <v>524.2</v>
      </c>
      <c r="H26" s="5" t="n">
        <v>0</v>
      </c>
      <c r="I26" s="13" t="n">
        <v>0</v>
      </c>
      <c r="J26" s="13" t="n">
        <v>0</v>
      </c>
      <c r="K26" s="14" t="s">
        <v>27</v>
      </c>
      <c r="L26" s="5" t="n">
        <f aca="false">ROUND(H26*$B$2,2)</f>
        <v>0</v>
      </c>
    </row>
    <row r="27" customFormat="false" ht="15" hidden="false" customHeight="false" outlineLevel="0" collapsed="false">
      <c r="A27" s="10" t="s">
        <v>51</v>
      </c>
      <c r="B27" s="10" t="s">
        <v>25</v>
      </c>
      <c r="C27" s="11" t="n">
        <v>45984</v>
      </c>
      <c r="D27" s="11" t="n">
        <v>46082</v>
      </c>
      <c r="E27" s="10" t="s">
        <v>26</v>
      </c>
      <c r="F27" s="12" t="n">
        <v>803</v>
      </c>
      <c r="G27" s="5" t="n">
        <v>5076.8</v>
      </c>
      <c r="H27" s="5" t="n">
        <v>0</v>
      </c>
      <c r="I27" s="13" t="n">
        <v>0</v>
      </c>
      <c r="J27" s="13" t="n">
        <v>0</v>
      </c>
      <c r="K27" s="14" t="s">
        <v>27</v>
      </c>
      <c r="L27" s="5" t="n">
        <f aca="false">ROUND(H27*$B$2,2)</f>
        <v>0</v>
      </c>
    </row>
    <row r="28" customFormat="false" ht="15" hidden="false" customHeight="false" outlineLevel="0" collapsed="false">
      <c r="A28" s="10" t="s">
        <v>52</v>
      </c>
      <c r="B28" s="10" t="s">
        <v>25</v>
      </c>
      <c r="C28" s="11" t="n">
        <v>45984</v>
      </c>
      <c r="D28" s="11" t="n">
        <v>46082</v>
      </c>
      <c r="E28" s="10" t="s">
        <v>32</v>
      </c>
      <c r="F28" s="12" t="n">
        <v>22</v>
      </c>
      <c r="G28" s="5" t="n">
        <v>455.4</v>
      </c>
      <c r="H28" s="5" t="n">
        <v>0</v>
      </c>
      <c r="I28" s="13" t="n">
        <v>0</v>
      </c>
      <c r="J28" s="13" t="n">
        <v>0</v>
      </c>
      <c r="K28" s="14" t="s">
        <v>27</v>
      </c>
      <c r="L28" s="5" t="n">
        <f aca="false">ROUND(H28*$B$2,2)</f>
        <v>0</v>
      </c>
    </row>
    <row r="29" customFormat="false" ht="15" hidden="false" customHeight="false" outlineLevel="0" collapsed="false">
      <c r="A29" s="10" t="s">
        <v>53</v>
      </c>
      <c r="B29" s="10" t="s">
        <v>25</v>
      </c>
      <c r="C29" s="11" t="n">
        <v>45984</v>
      </c>
      <c r="D29" s="11" t="n">
        <v>46082</v>
      </c>
      <c r="E29" s="10" t="s">
        <v>54</v>
      </c>
      <c r="F29" s="12" t="n">
        <v>2</v>
      </c>
      <c r="G29" s="5" t="n">
        <v>96</v>
      </c>
      <c r="H29" s="5" t="n">
        <v>0</v>
      </c>
      <c r="I29" s="13" t="n">
        <v>0</v>
      </c>
      <c r="J29" s="13" t="n">
        <v>0</v>
      </c>
      <c r="K29" s="14" t="s">
        <v>27</v>
      </c>
      <c r="L29" s="5" t="n">
        <f aca="false">ROUND(H29*$B$2,2)</f>
        <v>0</v>
      </c>
    </row>
    <row r="30" customFormat="false" ht="15" hidden="false" customHeight="false" outlineLevel="0" collapsed="false">
      <c r="A30" s="10" t="s">
        <v>55</v>
      </c>
      <c r="B30" s="10" t="s">
        <v>25</v>
      </c>
      <c r="C30" s="11" t="n">
        <v>45991</v>
      </c>
      <c r="D30" s="11" t="n">
        <v>46008</v>
      </c>
      <c r="E30" s="10" t="s">
        <v>54</v>
      </c>
      <c r="F30" s="12" t="n">
        <v>4</v>
      </c>
      <c r="G30" s="5" t="n">
        <v>110.4</v>
      </c>
      <c r="H30" s="5" t="n">
        <v>110.4</v>
      </c>
      <c r="I30" s="13" t="n">
        <v>1</v>
      </c>
      <c r="J30" s="13" t="n">
        <v>1</v>
      </c>
      <c r="K30" s="16" t="s">
        <v>56</v>
      </c>
      <c r="L30" s="5" t="n">
        <f aca="false">ROUND(H30*$B$2,2)</f>
        <v>6.62</v>
      </c>
    </row>
    <row r="31" customFormat="false" ht="15" hidden="false" customHeight="false" outlineLevel="0" collapsed="false">
      <c r="A31" s="10" t="s">
        <v>57</v>
      </c>
      <c r="B31" s="10" t="s">
        <v>25</v>
      </c>
      <c r="C31" s="11" t="n">
        <v>45991</v>
      </c>
      <c r="D31" s="11" t="n">
        <v>46030</v>
      </c>
      <c r="E31" s="10" t="s">
        <v>32</v>
      </c>
      <c r="F31" s="12" t="n">
        <v>5</v>
      </c>
      <c r="G31" s="5" t="n">
        <v>199.2</v>
      </c>
      <c r="H31" s="5" t="n">
        <v>244.8</v>
      </c>
      <c r="I31" s="13" t="n">
        <v>1</v>
      </c>
      <c r="J31" s="13" t="n">
        <v>1.23</v>
      </c>
      <c r="K31" s="16" t="s">
        <v>56</v>
      </c>
      <c r="L31" s="5" t="n">
        <f aca="false">ROUND(H31*$B$2,2)</f>
        <v>14.69</v>
      </c>
    </row>
    <row r="32" customFormat="false" ht="15" hidden="false" customHeight="false" outlineLevel="0" collapsed="false">
      <c r="A32" s="10" t="s">
        <v>58</v>
      </c>
      <c r="B32" s="10" t="s">
        <v>25</v>
      </c>
      <c r="C32" s="11" t="n">
        <v>45991</v>
      </c>
      <c r="D32" s="11" t="n">
        <v>46081</v>
      </c>
      <c r="E32" s="10" t="s">
        <v>26</v>
      </c>
      <c r="F32" s="12" t="n">
        <v>235</v>
      </c>
      <c r="G32" s="5" t="n">
        <v>1496.5</v>
      </c>
      <c r="H32" s="5" t="n">
        <v>2003</v>
      </c>
      <c r="I32" s="13" t="n">
        <v>1</v>
      </c>
      <c r="J32" s="13" t="n">
        <v>1.34</v>
      </c>
      <c r="K32" s="16" t="s">
        <v>56</v>
      </c>
      <c r="L32" s="5" t="n">
        <f aca="false">ROUND(H32*$B$2,2)</f>
        <v>120.18</v>
      </c>
    </row>
    <row r="33" customFormat="false" ht="15" hidden="false" customHeight="false" outlineLevel="0" collapsed="false">
      <c r="A33" s="10" t="s">
        <v>59</v>
      </c>
      <c r="B33" s="10" t="s">
        <v>25</v>
      </c>
      <c r="C33" s="11" t="n">
        <v>45998</v>
      </c>
      <c r="D33" s="11" t="n">
        <v>46008</v>
      </c>
      <c r="E33" s="10" t="s">
        <v>54</v>
      </c>
      <c r="F33" s="12" t="n">
        <v>8</v>
      </c>
      <c r="G33" s="5" t="n">
        <v>220.8</v>
      </c>
      <c r="H33" s="5" t="n">
        <v>220.8</v>
      </c>
      <c r="I33" s="13" t="n">
        <v>1</v>
      </c>
      <c r="J33" s="13" t="n">
        <v>1</v>
      </c>
      <c r="K33" s="16" t="s">
        <v>56</v>
      </c>
      <c r="L33" s="5" t="n">
        <f aca="false">ROUND(H33*$B$2,2)</f>
        <v>13.25</v>
      </c>
    </row>
    <row r="34" customFormat="false" ht="15" hidden="false" customHeight="false" outlineLevel="0" collapsed="false">
      <c r="A34" s="10" t="s">
        <v>60</v>
      </c>
      <c r="B34" s="10" t="s">
        <v>25</v>
      </c>
      <c r="C34" s="11" t="n">
        <v>45998</v>
      </c>
      <c r="D34" s="11" t="n">
        <v>46022</v>
      </c>
      <c r="E34" s="10" t="s">
        <v>26</v>
      </c>
      <c r="F34" s="12" t="n">
        <v>8</v>
      </c>
      <c r="G34" s="5" t="n">
        <v>339.84</v>
      </c>
      <c r="H34" s="5" t="n">
        <v>136.8</v>
      </c>
      <c r="I34" s="13" t="n">
        <v>1</v>
      </c>
      <c r="J34" s="13" t="n">
        <v>0.4</v>
      </c>
      <c r="K34" s="15" t="s">
        <v>35</v>
      </c>
      <c r="L34" s="5" t="n">
        <f aca="false">ROUND(H34*$B$2,2)</f>
        <v>8.21</v>
      </c>
    </row>
    <row r="35" customFormat="false" ht="15" hidden="false" customHeight="false" outlineLevel="0" collapsed="false">
      <c r="A35" s="10" t="s">
        <v>61</v>
      </c>
      <c r="B35" s="10" t="s">
        <v>25</v>
      </c>
      <c r="C35" s="11" t="n">
        <v>45998</v>
      </c>
      <c r="D35" s="11" t="n">
        <v>46024</v>
      </c>
      <c r="E35" s="10" t="s">
        <v>32</v>
      </c>
      <c r="F35" s="12" t="n">
        <v>30</v>
      </c>
      <c r="G35" s="5" t="n">
        <v>192.5</v>
      </c>
      <c r="H35" s="5" t="n">
        <v>143</v>
      </c>
      <c r="I35" s="13" t="n">
        <v>1</v>
      </c>
      <c r="J35" s="13" t="n">
        <v>0.74</v>
      </c>
      <c r="K35" s="15" t="s">
        <v>35</v>
      </c>
      <c r="L35" s="5" t="n">
        <f aca="false">ROUND(H35*$B$2,2)</f>
        <v>8.58</v>
      </c>
    </row>
    <row r="36" customFormat="false" ht="15" hidden="false" customHeight="false" outlineLevel="0" collapsed="false">
      <c r="A36" s="10" t="s">
        <v>62</v>
      </c>
      <c r="B36" s="10" t="s">
        <v>25</v>
      </c>
      <c r="C36" s="11" t="n">
        <v>46005</v>
      </c>
      <c r="D36" s="11" t="n">
        <v>46018</v>
      </c>
      <c r="E36" s="10" t="s">
        <v>32</v>
      </c>
      <c r="F36" s="12" t="n">
        <v>29</v>
      </c>
      <c r="G36" s="5" t="n">
        <v>283.9</v>
      </c>
      <c r="H36" s="5" t="n">
        <v>333.5</v>
      </c>
      <c r="I36" s="13" t="n">
        <v>1</v>
      </c>
      <c r="J36" s="13" t="n">
        <v>1.17</v>
      </c>
      <c r="K36" s="16" t="s">
        <v>56</v>
      </c>
      <c r="L36" s="5" t="n">
        <f aca="false">ROUND(H36*$B$2,2)</f>
        <v>20.01</v>
      </c>
    </row>
    <row r="37" customFormat="false" ht="15" hidden="false" customHeight="false" outlineLevel="0" collapsed="false">
      <c r="A37" s="10" t="s">
        <v>63</v>
      </c>
      <c r="B37" s="10" t="s">
        <v>25</v>
      </c>
      <c r="C37" s="11" t="n">
        <v>46012</v>
      </c>
      <c r="D37" s="11" t="n">
        <v>46018</v>
      </c>
      <c r="E37" s="10" t="s">
        <v>26</v>
      </c>
      <c r="F37" s="12" t="n">
        <v>12</v>
      </c>
      <c r="G37" s="5" t="n">
        <v>349.2</v>
      </c>
      <c r="H37" s="5" t="n">
        <v>349.2</v>
      </c>
      <c r="I37" s="13" t="n">
        <v>1</v>
      </c>
      <c r="J37" s="13" t="n">
        <v>1</v>
      </c>
      <c r="K37" s="16" t="s">
        <v>56</v>
      </c>
      <c r="L37" s="5" t="n">
        <f aca="false">ROUND(H37*$B$2,2)</f>
        <v>20.95</v>
      </c>
    </row>
    <row r="38" customFormat="false" ht="15" hidden="false" customHeight="false" outlineLevel="0" collapsed="false">
      <c r="A38" s="10" t="s">
        <v>64</v>
      </c>
      <c r="B38" s="10" t="s">
        <v>25</v>
      </c>
      <c r="C38" s="11" t="n">
        <v>46012</v>
      </c>
      <c r="D38" s="11" t="n">
        <v>46018</v>
      </c>
      <c r="E38" s="10" t="s">
        <v>32</v>
      </c>
      <c r="F38" s="12" t="n">
        <v>14</v>
      </c>
      <c r="G38" s="5" t="n">
        <v>609.6</v>
      </c>
      <c r="H38" s="5" t="n">
        <v>609.6</v>
      </c>
      <c r="I38" s="13" t="n">
        <v>1</v>
      </c>
      <c r="J38" s="13" t="n">
        <v>1</v>
      </c>
      <c r="K38" s="16" t="s">
        <v>56</v>
      </c>
      <c r="L38" s="5" t="n">
        <f aca="false">ROUND(H38*$B$2,2)</f>
        <v>36.58</v>
      </c>
    </row>
    <row r="39" customFormat="false" ht="15" hidden="false" customHeight="false" outlineLevel="0" collapsed="false">
      <c r="A39" s="10" t="s">
        <v>65</v>
      </c>
      <c r="B39" s="10" t="s">
        <v>25</v>
      </c>
      <c r="C39" s="11" t="n">
        <v>46019</v>
      </c>
      <c r="D39" s="11" t="n">
        <v>46026</v>
      </c>
      <c r="E39" s="10" t="s">
        <v>26</v>
      </c>
      <c r="F39" s="12" t="n">
        <v>2</v>
      </c>
      <c r="G39" s="5" t="n">
        <v>73.2</v>
      </c>
      <c r="H39" s="5" t="n">
        <v>73.2</v>
      </c>
      <c r="I39" s="13" t="n">
        <v>1</v>
      </c>
      <c r="J39" s="13" t="n">
        <v>1</v>
      </c>
      <c r="K39" s="16" t="s">
        <v>56</v>
      </c>
      <c r="L39" s="5" t="n">
        <f aca="false">ROUND(H39*$B$2,2)</f>
        <v>4.39</v>
      </c>
    </row>
    <row r="40" customFormat="false" ht="15" hidden="false" customHeight="false" outlineLevel="0" collapsed="false">
      <c r="A40" s="10" t="s">
        <v>66</v>
      </c>
      <c r="B40" s="10" t="s">
        <v>25</v>
      </c>
      <c r="C40" s="11" t="n">
        <v>46019</v>
      </c>
      <c r="D40" s="11" t="n">
        <v>46026</v>
      </c>
      <c r="E40" s="10" t="s">
        <v>32</v>
      </c>
      <c r="F40" s="12" t="n">
        <v>6</v>
      </c>
      <c r="G40" s="5" t="n">
        <v>219.6</v>
      </c>
      <c r="H40" s="5" t="n">
        <v>219.6</v>
      </c>
      <c r="I40" s="13" t="n">
        <v>1</v>
      </c>
      <c r="J40" s="13" t="n">
        <v>1</v>
      </c>
      <c r="K40" s="16" t="s">
        <v>56</v>
      </c>
      <c r="L40" s="5" t="n">
        <f aca="false">ROUND(H40*$B$2,2)</f>
        <v>13.18</v>
      </c>
    </row>
    <row r="41" customFormat="false" ht="15" hidden="false" customHeight="false" outlineLevel="0" collapsed="false">
      <c r="A41" s="10" t="s">
        <v>67</v>
      </c>
      <c r="B41" s="10" t="s">
        <v>25</v>
      </c>
      <c r="C41" s="11" t="n">
        <v>46026</v>
      </c>
      <c r="D41" s="11" t="n">
        <v>46030</v>
      </c>
      <c r="E41" s="10" t="s">
        <v>26</v>
      </c>
      <c r="F41" s="12" t="n">
        <v>2</v>
      </c>
      <c r="G41" s="5" t="n">
        <v>73.2</v>
      </c>
      <c r="H41" s="5" t="n">
        <v>73.2</v>
      </c>
      <c r="I41" s="13" t="n">
        <v>1</v>
      </c>
      <c r="J41" s="13" t="n">
        <v>1</v>
      </c>
      <c r="K41" s="16" t="s">
        <v>56</v>
      </c>
      <c r="L41" s="5" t="n">
        <f aca="false">ROUND(H41*$B$2,2)</f>
        <v>4.39</v>
      </c>
    </row>
    <row r="42" customFormat="false" ht="15" hidden="false" customHeight="false" outlineLevel="0" collapsed="false">
      <c r="A42" s="10" t="s">
        <v>68</v>
      </c>
      <c r="B42" s="10" t="s">
        <v>25</v>
      </c>
      <c r="C42" s="11" t="n">
        <v>46033</v>
      </c>
      <c r="D42" s="11" t="n">
        <v>46041</v>
      </c>
      <c r="E42" s="10" t="s">
        <v>26</v>
      </c>
      <c r="F42" s="12" t="n">
        <v>189</v>
      </c>
      <c r="G42" s="5" t="n">
        <v>1312.5</v>
      </c>
      <c r="H42" s="5" t="n">
        <v>1209.6</v>
      </c>
      <c r="I42" s="13" t="n">
        <v>1</v>
      </c>
      <c r="J42" s="13" t="n">
        <v>0.92</v>
      </c>
      <c r="K42" s="15" t="s">
        <v>35</v>
      </c>
      <c r="L42" s="5" t="n">
        <f aca="false">ROUND(H42*$B$2,2)</f>
        <v>72.58</v>
      </c>
    </row>
    <row r="43" customFormat="false" ht="15" hidden="false" customHeight="false" outlineLevel="0" collapsed="false">
      <c r="A43" s="10" t="s">
        <v>69</v>
      </c>
      <c r="B43" s="10" t="s">
        <v>25</v>
      </c>
      <c r="C43" s="11" t="n">
        <v>46033</v>
      </c>
      <c r="D43" s="11" t="n">
        <v>46046</v>
      </c>
      <c r="E43" s="10" t="s">
        <v>32</v>
      </c>
      <c r="F43" s="12" t="n">
        <v>337</v>
      </c>
      <c r="G43" s="5" t="n">
        <v>1915.7</v>
      </c>
      <c r="H43" s="5" t="n">
        <v>1888.2</v>
      </c>
      <c r="I43" s="13" t="n">
        <v>1</v>
      </c>
      <c r="J43" s="13" t="n">
        <v>0.99</v>
      </c>
      <c r="K43" s="15" t="s">
        <v>35</v>
      </c>
      <c r="L43" s="5" t="n">
        <f aca="false">ROUND(H43*$B$2,2)</f>
        <v>113.29</v>
      </c>
    </row>
    <row r="44" customFormat="false" ht="15" hidden="false" customHeight="false" outlineLevel="0" collapsed="false">
      <c r="A44" s="10" t="s">
        <v>70</v>
      </c>
      <c r="B44" s="10" t="s">
        <v>25</v>
      </c>
      <c r="C44" s="11" t="n">
        <v>46036</v>
      </c>
      <c r="D44" s="11" t="n">
        <v>46082</v>
      </c>
      <c r="E44" s="10" t="s">
        <v>26</v>
      </c>
      <c r="F44" s="12" t="n">
        <v>70</v>
      </c>
      <c r="G44" s="5" t="n">
        <v>385</v>
      </c>
      <c r="H44" s="5" t="n">
        <v>379.5</v>
      </c>
      <c r="I44" s="13" t="n">
        <v>1</v>
      </c>
      <c r="J44" s="13" t="n">
        <v>0.99</v>
      </c>
      <c r="K44" s="15" t="s">
        <v>35</v>
      </c>
      <c r="L44" s="5" t="n">
        <f aca="false">ROUND(H44*$B$2,2)</f>
        <v>22.77</v>
      </c>
    </row>
    <row r="45" customFormat="false" ht="15" hidden="false" customHeight="false" outlineLevel="0" collapsed="false">
      <c r="A45" s="10" t="s">
        <v>71</v>
      </c>
      <c r="B45" s="10" t="s">
        <v>25</v>
      </c>
      <c r="C45" s="11" t="n">
        <v>46036</v>
      </c>
      <c r="D45" s="11" t="n">
        <v>46046</v>
      </c>
      <c r="E45" s="10" t="s">
        <v>32</v>
      </c>
      <c r="F45" s="12" t="n">
        <v>180</v>
      </c>
      <c r="G45" s="5" t="n">
        <v>990</v>
      </c>
      <c r="H45" s="5" t="n">
        <v>990</v>
      </c>
      <c r="I45" s="13" t="n">
        <v>1</v>
      </c>
      <c r="J45" s="13" t="n">
        <v>1</v>
      </c>
      <c r="K45" s="16" t="s">
        <v>56</v>
      </c>
      <c r="L45" s="5" t="n">
        <f aca="false">ROUND(H45*$B$2,2)</f>
        <v>59.4</v>
      </c>
    </row>
    <row r="46" customFormat="false" ht="15" hidden="false" customHeight="false" outlineLevel="0" collapsed="false">
      <c r="A46" s="10" t="s">
        <v>72</v>
      </c>
      <c r="B46" s="10" t="s">
        <v>25</v>
      </c>
      <c r="C46" s="11" t="n">
        <v>46047</v>
      </c>
      <c r="D46" s="11" t="n">
        <v>46056</v>
      </c>
      <c r="E46" s="10" t="s">
        <v>26</v>
      </c>
      <c r="F46" s="12" t="n">
        <v>5</v>
      </c>
      <c r="G46" s="5" t="n">
        <v>55</v>
      </c>
      <c r="H46" s="5" t="n">
        <v>55</v>
      </c>
      <c r="I46" s="13" t="n">
        <v>1</v>
      </c>
      <c r="J46" s="13" t="n">
        <v>1</v>
      </c>
      <c r="K46" s="16" t="s">
        <v>56</v>
      </c>
      <c r="L46" s="5" t="n">
        <f aca="false">ROUND(H46*$B$2,2)</f>
        <v>3.3</v>
      </c>
    </row>
    <row r="47" customFormat="false" ht="15" hidden="false" customHeight="false" outlineLevel="0" collapsed="false">
      <c r="A47" s="10" t="s">
        <v>73</v>
      </c>
      <c r="B47" s="10" t="s">
        <v>25</v>
      </c>
      <c r="C47" s="11" t="n">
        <v>46054</v>
      </c>
      <c r="D47" s="11" t="n">
        <v>46058</v>
      </c>
      <c r="E47" s="10" t="s">
        <v>26</v>
      </c>
      <c r="F47" s="12" t="n">
        <v>7</v>
      </c>
      <c r="G47" s="5" t="n">
        <v>218.4</v>
      </c>
      <c r="H47" s="5" t="n">
        <v>218.4</v>
      </c>
      <c r="I47" s="13" t="n">
        <v>1</v>
      </c>
      <c r="J47" s="13" t="n">
        <v>1</v>
      </c>
      <c r="K47" s="16" t="s">
        <v>56</v>
      </c>
      <c r="L47" s="5" t="n">
        <f aca="false">ROUND(H47*$B$2,2)</f>
        <v>13.1</v>
      </c>
    </row>
    <row r="48" customFormat="false" ht="15" hidden="false" customHeight="false" outlineLevel="0" collapsed="false">
      <c r="A48" s="10" t="s">
        <v>74</v>
      </c>
      <c r="B48" s="10" t="s">
        <v>25</v>
      </c>
      <c r="C48" s="11" t="n">
        <v>46054</v>
      </c>
      <c r="D48" s="11" t="n">
        <v>46057</v>
      </c>
      <c r="E48" s="10" t="s">
        <v>32</v>
      </c>
      <c r="F48" s="12" t="n">
        <v>2</v>
      </c>
      <c r="G48" s="5" t="n">
        <v>55.2</v>
      </c>
      <c r="H48" s="5" t="n">
        <v>55.2</v>
      </c>
      <c r="I48" s="13" t="n">
        <v>1</v>
      </c>
      <c r="J48" s="13" t="n">
        <v>1</v>
      </c>
      <c r="K48" s="16" t="s">
        <v>56</v>
      </c>
      <c r="L48" s="5" t="n">
        <f aca="false">ROUND(H48*$B$2,2)</f>
        <v>3.31</v>
      </c>
    </row>
    <row r="49" customFormat="false" ht="15" hidden="false" customHeight="false" outlineLevel="0" collapsed="false">
      <c r="A49" s="10" t="s">
        <v>75</v>
      </c>
      <c r="B49" s="10" t="s">
        <v>25</v>
      </c>
      <c r="C49" s="11" t="n">
        <v>46061</v>
      </c>
      <c r="D49" s="11" t="n">
        <v>46084</v>
      </c>
      <c r="E49" s="10" t="s">
        <v>26</v>
      </c>
      <c r="F49" s="12" t="n">
        <v>101</v>
      </c>
      <c r="G49" s="5" t="n">
        <v>1366.02</v>
      </c>
      <c r="H49" s="5" t="n">
        <v>1120.82</v>
      </c>
      <c r="I49" s="13" t="n">
        <v>1</v>
      </c>
      <c r="J49" s="13" t="n">
        <v>0.82</v>
      </c>
      <c r="K49" s="16" t="s">
        <v>56</v>
      </c>
      <c r="L49" s="5" t="n">
        <f aca="false">ROUND(H49*$B$2,2)</f>
        <v>67.25</v>
      </c>
    </row>
    <row r="50" customFormat="false" ht="15" hidden="false" customHeight="false" outlineLevel="0" collapsed="false">
      <c r="A50" s="10" t="s">
        <v>76</v>
      </c>
      <c r="B50" s="10" t="s">
        <v>25</v>
      </c>
      <c r="C50" s="11" t="n">
        <v>46061</v>
      </c>
      <c r="D50" s="11" t="n">
        <v>46065</v>
      </c>
      <c r="E50" s="10" t="s">
        <v>32</v>
      </c>
      <c r="F50" s="12" t="n">
        <v>14</v>
      </c>
      <c r="G50" s="5" t="n">
        <v>386.4</v>
      </c>
      <c r="H50" s="5" t="n">
        <v>386.4</v>
      </c>
      <c r="I50" s="13" t="n">
        <v>1</v>
      </c>
      <c r="J50" s="13" t="n">
        <v>1</v>
      </c>
      <c r="K50" s="16" t="s">
        <v>56</v>
      </c>
      <c r="L50" s="5" t="n">
        <f aca="false">ROUND(H50*$B$2,2)</f>
        <v>23.18</v>
      </c>
    </row>
    <row r="51" customFormat="false" ht="15" hidden="false" customHeight="false" outlineLevel="0" collapsed="false">
      <c r="A51" s="10" t="s">
        <v>77</v>
      </c>
      <c r="B51" s="10" t="s">
        <v>25</v>
      </c>
      <c r="C51" s="11" t="n">
        <v>46066</v>
      </c>
      <c r="D51" s="11" t="n">
        <v>46073</v>
      </c>
      <c r="E51" s="10" t="s">
        <v>26</v>
      </c>
      <c r="F51" s="12" t="n">
        <v>5</v>
      </c>
      <c r="G51" s="5" t="n">
        <v>55</v>
      </c>
      <c r="H51" s="5" t="n">
        <v>55</v>
      </c>
      <c r="I51" s="13" t="n">
        <v>1</v>
      </c>
      <c r="J51" s="13" t="n">
        <v>1</v>
      </c>
      <c r="K51" s="16" t="s">
        <v>56</v>
      </c>
      <c r="L51" s="5" t="n">
        <f aca="false">ROUND(H51*$B$2,2)</f>
        <v>3.3</v>
      </c>
    </row>
    <row r="52" customFormat="false" ht="15" hidden="false" customHeight="false" outlineLevel="0" collapsed="false">
      <c r="A52" s="10" t="s">
        <v>78</v>
      </c>
      <c r="B52" s="10" t="s">
        <v>25</v>
      </c>
      <c r="C52" s="11" t="n">
        <v>46068</v>
      </c>
      <c r="D52" s="11" t="n">
        <v>46103</v>
      </c>
      <c r="E52" s="10" t="s">
        <v>26</v>
      </c>
      <c r="F52" s="12" t="n">
        <v>1</v>
      </c>
      <c r="G52" s="5" t="n">
        <v>18.72</v>
      </c>
      <c r="H52" s="5" t="n">
        <v>0</v>
      </c>
      <c r="I52" s="13" t="n">
        <v>1</v>
      </c>
      <c r="J52" s="13" t="n">
        <v>0</v>
      </c>
      <c r="K52" s="14" t="s">
        <v>27</v>
      </c>
      <c r="L52" s="5" t="n">
        <f aca="false">ROUND(H52*$B$2,2)</f>
        <v>0</v>
      </c>
    </row>
    <row r="53" customFormat="false" ht="15" hidden="false" customHeight="false" outlineLevel="0" collapsed="false">
      <c r="A53" s="10" t="s">
        <v>79</v>
      </c>
      <c r="B53" s="10" t="s">
        <v>25</v>
      </c>
      <c r="C53" s="11" t="n">
        <v>46075</v>
      </c>
      <c r="D53" s="11" t="n">
        <v>46087</v>
      </c>
      <c r="E53" s="10" t="s">
        <v>26</v>
      </c>
      <c r="F53" s="12" t="n">
        <v>134</v>
      </c>
      <c r="G53" s="5" t="n">
        <v>891.62</v>
      </c>
      <c r="H53" s="5" t="n">
        <v>794.92</v>
      </c>
      <c r="I53" s="13" t="n">
        <v>1</v>
      </c>
      <c r="J53" s="13" t="n">
        <v>0.89</v>
      </c>
      <c r="K53" s="15" t="s">
        <v>35</v>
      </c>
      <c r="L53" s="5" t="n">
        <f aca="false">ROUND(H53*$B$2,2)</f>
        <v>47.7</v>
      </c>
    </row>
    <row r="54" customFormat="false" ht="15" hidden="false" customHeight="false" outlineLevel="0" collapsed="false">
      <c r="A54" s="10" t="s">
        <v>80</v>
      </c>
      <c r="B54" s="10" t="s">
        <v>25</v>
      </c>
      <c r="C54" s="11" t="n">
        <v>46075</v>
      </c>
      <c r="D54" s="11" t="n">
        <v>46087</v>
      </c>
      <c r="E54" s="10" t="s">
        <v>32</v>
      </c>
      <c r="F54" s="12" t="n">
        <v>6</v>
      </c>
      <c r="G54" s="5" t="n">
        <v>219.6</v>
      </c>
      <c r="H54" s="5" t="n">
        <v>219.6</v>
      </c>
      <c r="I54" s="13" t="n">
        <v>1</v>
      </c>
      <c r="J54" s="13" t="n">
        <v>1</v>
      </c>
      <c r="K54" s="16" t="s">
        <v>56</v>
      </c>
      <c r="L54" s="5" t="n">
        <f aca="false">ROUND(H54*$B$2,2)</f>
        <v>13.18</v>
      </c>
    </row>
    <row r="55" customFormat="false" ht="15" hidden="false" customHeight="false" outlineLevel="0" collapsed="false">
      <c r="A55" s="10" t="s">
        <v>81</v>
      </c>
      <c r="B55" s="10" t="s">
        <v>25</v>
      </c>
      <c r="C55" s="11" t="n">
        <v>46079</v>
      </c>
      <c r="D55" s="11" t="n">
        <v>46103</v>
      </c>
      <c r="E55" s="10" t="s">
        <v>26</v>
      </c>
      <c r="F55" s="12" t="n">
        <v>2</v>
      </c>
      <c r="G55" s="5" t="n">
        <v>91.2</v>
      </c>
      <c r="H55" s="5" t="n">
        <v>91.2</v>
      </c>
      <c r="I55" s="13" t="n">
        <v>1</v>
      </c>
      <c r="J55" s="13" t="n">
        <v>1</v>
      </c>
      <c r="K55" s="16" t="s">
        <v>56</v>
      </c>
      <c r="L55" s="5" t="n">
        <f aca="false">ROUND(H55*$B$2,2)</f>
        <v>5.47</v>
      </c>
    </row>
    <row r="56" customFormat="false" ht="15" hidden="false" customHeight="false" outlineLevel="0" collapsed="false">
      <c r="A56" s="10" t="s">
        <v>82</v>
      </c>
      <c r="B56" s="10" t="s">
        <v>25</v>
      </c>
      <c r="C56" s="11" t="n">
        <v>46082</v>
      </c>
      <c r="D56" s="11" t="n">
        <v>46110</v>
      </c>
      <c r="E56" s="10" t="s">
        <v>32</v>
      </c>
      <c r="F56" s="12" t="n">
        <v>14</v>
      </c>
      <c r="G56" s="5" t="n">
        <v>219.44</v>
      </c>
      <c r="H56" s="5" t="n">
        <v>72</v>
      </c>
      <c r="I56" s="13" t="n">
        <v>1</v>
      </c>
      <c r="J56" s="13" t="n">
        <v>0.33</v>
      </c>
      <c r="K56" s="15" t="s">
        <v>35</v>
      </c>
      <c r="L56" s="5" t="n">
        <f aca="false">ROUND(H56*$B$2,2)</f>
        <v>4.32</v>
      </c>
    </row>
    <row r="57" customFormat="false" ht="15" hidden="false" customHeight="false" outlineLevel="0" collapsed="false">
      <c r="A57" s="10" t="s">
        <v>83</v>
      </c>
      <c r="B57" s="10" t="s">
        <v>25</v>
      </c>
      <c r="C57" s="11" t="n">
        <v>46082</v>
      </c>
      <c r="D57" s="11" t="n">
        <v>46103</v>
      </c>
      <c r="E57" s="10" t="s">
        <v>26</v>
      </c>
      <c r="F57" s="12" t="n">
        <v>1</v>
      </c>
      <c r="G57" s="5" t="n">
        <v>36</v>
      </c>
      <c r="H57" s="5" t="n">
        <v>36</v>
      </c>
      <c r="I57" s="13" t="n">
        <v>1</v>
      </c>
      <c r="J57" s="13" t="n">
        <v>1</v>
      </c>
      <c r="K57" s="16" t="s">
        <v>56</v>
      </c>
      <c r="L57" s="5" t="n">
        <f aca="false">ROUND(H57*$B$2,2)</f>
        <v>2.16</v>
      </c>
    </row>
    <row r="58" customFormat="false" ht="15" hidden="false" customHeight="false" outlineLevel="0" collapsed="false">
      <c r="A58" s="10" t="s">
        <v>84</v>
      </c>
      <c r="B58" s="10" t="s">
        <v>25</v>
      </c>
      <c r="C58" s="11" t="n">
        <v>46089</v>
      </c>
      <c r="D58" s="11" t="n">
        <v>46093</v>
      </c>
      <c r="E58" s="10" t="s">
        <v>32</v>
      </c>
      <c r="F58" s="12" t="n">
        <v>4</v>
      </c>
      <c r="G58" s="5" t="n">
        <v>181.2</v>
      </c>
      <c r="H58" s="5" t="n">
        <v>181.2</v>
      </c>
      <c r="I58" s="13" t="n">
        <v>1</v>
      </c>
      <c r="J58" s="13" t="n">
        <v>1</v>
      </c>
      <c r="K58" s="16" t="s">
        <v>56</v>
      </c>
      <c r="L58" s="5" t="n">
        <f aca="false">ROUND(H58*$B$2,2)</f>
        <v>10.87</v>
      </c>
    </row>
    <row r="59" customFormat="false" ht="15" hidden="false" customHeight="false" outlineLevel="0" collapsed="false">
      <c r="A59" s="10" t="s">
        <v>85</v>
      </c>
      <c r="B59" s="10" t="s">
        <v>25</v>
      </c>
      <c r="C59" s="11" t="n">
        <v>46089</v>
      </c>
      <c r="D59" s="11" t="n">
        <v>46093</v>
      </c>
      <c r="E59" s="10" t="s">
        <v>26</v>
      </c>
      <c r="F59" s="12" t="n">
        <v>4</v>
      </c>
      <c r="G59" s="5" t="n">
        <v>182.4</v>
      </c>
      <c r="H59" s="5" t="n">
        <v>182.4</v>
      </c>
      <c r="I59" s="13" t="n">
        <v>1</v>
      </c>
      <c r="J59" s="13" t="n">
        <v>1</v>
      </c>
      <c r="K59" s="16" t="s">
        <v>56</v>
      </c>
      <c r="L59" s="5" t="n">
        <f aca="false">ROUND(H59*$B$2,2)</f>
        <v>10.94</v>
      </c>
    </row>
    <row r="60" customFormat="false" ht="15" hidden="false" customHeight="false" outlineLevel="0" collapsed="false">
      <c r="A60" s="10" t="s">
        <v>86</v>
      </c>
      <c r="B60" s="10" t="s">
        <v>25</v>
      </c>
      <c r="C60" s="11" t="n">
        <v>46096</v>
      </c>
      <c r="D60" s="11" t="n">
        <v>46245</v>
      </c>
      <c r="E60" s="10" t="s">
        <v>32</v>
      </c>
      <c r="F60" s="12" t="n">
        <v>6</v>
      </c>
      <c r="G60" s="5" t="n">
        <v>273.6</v>
      </c>
      <c r="H60" s="5" t="n">
        <v>364.8</v>
      </c>
      <c r="I60" s="13" t="n">
        <v>1</v>
      </c>
      <c r="J60" s="13" t="n">
        <v>1.33</v>
      </c>
      <c r="K60" s="16" t="s">
        <v>56</v>
      </c>
      <c r="L60" s="5" t="n">
        <f aca="false">ROUND(H60*$B$2,2)</f>
        <v>21.89</v>
      </c>
    </row>
    <row r="61" customFormat="false" ht="15" hidden="false" customHeight="false" outlineLevel="0" collapsed="false">
      <c r="A61" s="10" t="s">
        <v>87</v>
      </c>
      <c r="B61" s="10" t="s">
        <v>25</v>
      </c>
      <c r="C61" s="11" t="n">
        <v>46103</v>
      </c>
      <c r="D61" s="11" t="n">
        <v>46115</v>
      </c>
      <c r="E61" s="10" t="s">
        <v>32</v>
      </c>
      <c r="F61" s="12" t="n">
        <v>2</v>
      </c>
      <c r="G61" s="5" t="n">
        <v>23.4</v>
      </c>
      <c r="H61" s="5" t="n">
        <v>23.4</v>
      </c>
      <c r="I61" s="13" t="n">
        <v>1</v>
      </c>
      <c r="J61" s="13" t="n">
        <v>1</v>
      </c>
      <c r="K61" s="16" t="s">
        <v>56</v>
      </c>
      <c r="L61" s="5" t="n">
        <f aca="false">ROUND(H61*$B$2,2)</f>
        <v>1.4</v>
      </c>
    </row>
    <row r="62" customFormat="false" ht="15" hidden="false" customHeight="false" outlineLevel="0" collapsed="false">
      <c r="A62" s="10" t="s">
        <v>88</v>
      </c>
      <c r="B62" s="10" t="s">
        <v>25</v>
      </c>
      <c r="C62" s="11" t="n">
        <v>46110</v>
      </c>
      <c r="D62" s="11" t="n">
        <v>46179</v>
      </c>
      <c r="E62" s="10" t="s">
        <v>26</v>
      </c>
      <c r="F62" s="12" t="n">
        <v>5</v>
      </c>
      <c r="G62" s="5" t="n">
        <v>55</v>
      </c>
      <c r="H62" s="5" t="n">
        <v>110</v>
      </c>
      <c r="I62" s="13" t="n">
        <v>1</v>
      </c>
      <c r="J62" s="13" t="n">
        <v>2</v>
      </c>
      <c r="K62" s="16" t="s">
        <v>56</v>
      </c>
      <c r="L62" s="5" t="n">
        <f aca="false">ROUND(H62*$B$2,2)</f>
        <v>6.6</v>
      </c>
    </row>
    <row r="63" customFormat="false" ht="15" hidden="false" customHeight="false" outlineLevel="0" collapsed="false">
      <c r="A63" s="10" t="s">
        <v>89</v>
      </c>
      <c r="B63" s="10" t="s">
        <v>25</v>
      </c>
      <c r="C63" s="11" t="n">
        <v>46110</v>
      </c>
      <c r="D63" s="11" t="n">
        <v>46148</v>
      </c>
      <c r="E63" s="10" t="s">
        <v>32</v>
      </c>
      <c r="F63" s="12" t="n">
        <v>6</v>
      </c>
      <c r="G63" s="5" t="n">
        <v>219.6</v>
      </c>
      <c r="H63" s="5" t="n">
        <v>183</v>
      </c>
      <c r="I63" s="13" t="n">
        <v>1</v>
      </c>
      <c r="J63" s="13" t="n">
        <v>0.83</v>
      </c>
      <c r="K63" s="15" t="s">
        <v>35</v>
      </c>
      <c r="L63" s="5" t="n">
        <f aca="false">ROUND(H63*$B$2,2)</f>
        <v>10.98</v>
      </c>
    </row>
    <row r="64" customFormat="false" ht="15" hidden="false" customHeight="false" outlineLevel="0" collapsed="false">
      <c r="A64" s="10" t="s">
        <v>90</v>
      </c>
      <c r="B64" s="10" t="s">
        <v>25</v>
      </c>
      <c r="C64" s="11" t="n">
        <v>46110</v>
      </c>
      <c r="D64" s="11" t="n">
        <v>46245</v>
      </c>
      <c r="E64" s="10" t="s">
        <v>26</v>
      </c>
      <c r="F64" s="12" t="n">
        <v>90</v>
      </c>
      <c r="G64" s="5" t="n">
        <v>495</v>
      </c>
      <c r="H64" s="5" t="n">
        <v>495</v>
      </c>
      <c r="I64" s="13" t="n">
        <v>1</v>
      </c>
      <c r="J64" s="13" t="n">
        <v>1</v>
      </c>
      <c r="K64" s="16" t="s">
        <v>56</v>
      </c>
      <c r="L64" s="5" t="n">
        <f aca="false">ROUND(H64*$B$2,2)</f>
        <v>29.7</v>
      </c>
    </row>
    <row r="65" customFormat="false" ht="15" hidden="false" customHeight="false" outlineLevel="0" collapsed="false">
      <c r="A65" s="10" t="s">
        <v>91</v>
      </c>
      <c r="B65" s="10" t="s">
        <v>25</v>
      </c>
      <c r="C65" s="11" t="n">
        <v>46117</v>
      </c>
      <c r="D65" s="11" t="n">
        <v>46140</v>
      </c>
      <c r="E65" s="10" t="s">
        <v>32</v>
      </c>
      <c r="F65" s="12" t="n">
        <v>185</v>
      </c>
      <c r="G65" s="5" t="n">
        <v>1045</v>
      </c>
      <c r="H65" s="5" t="n">
        <v>990</v>
      </c>
      <c r="I65" s="13" t="n">
        <v>1</v>
      </c>
      <c r="J65" s="13" t="n">
        <v>0.95</v>
      </c>
      <c r="K65" s="15" t="s">
        <v>35</v>
      </c>
      <c r="L65" s="5" t="n">
        <f aca="false">ROUND(H65*$B$2,2)</f>
        <v>59.4</v>
      </c>
    </row>
    <row r="66" customFormat="false" ht="15" hidden="false" customHeight="false" outlineLevel="0" collapsed="false">
      <c r="A66" s="10" t="s">
        <v>92</v>
      </c>
      <c r="B66" s="10" t="s">
        <v>25</v>
      </c>
      <c r="C66" s="11" t="n">
        <v>46117</v>
      </c>
      <c r="D66" s="11" t="n">
        <v>46130</v>
      </c>
      <c r="E66" s="10" t="s">
        <v>26</v>
      </c>
      <c r="F66" s="12" t="n">
        <v>311</v>
      </c>
      <c r="G66" s="5" t="n">
        <v>1833.72</v>
      </c>
      <c r="H66" s="5" t="n">
        <v>1833.72</v>
      </c>
      <c r="I66" s="13" t="n">
        <v>1</v>
      </c>
      <c r="J66" s="13" t="n">
        <v>1</v>
      </c>
      <c r="K66" s="16" t="s">
        <v>56</v>
      </c>
      <c r="L66" s="5" t="n">
        <f aca="false">ROUND(H66*$B$2,2)</f>
        <v>110.02</v>
      </c>
    </row>
    <row r="67" customFormat="false" ht="15" hidden="false" customHeight="false" outlineLevel="0" collapsed="false">
      <c r="A67" s="10" t="s">
        <v>93</v>
      </c>
      <c r="B67" s="10" t="s">
        <v>25</v>
      </c>
      <c r="C67" s="11" t="n">
        <v>46124</v>
      </c>
      <c r="D67" s="11" t="n">
        <v>46140</v>
      </c>
      <c r="E67" s="10" t="s">
        <v>32</v>
      </c>
      <c r="F67" s="12" t="n">
        <v>245</v>
      </c>
      <c r="G67" s="5" t="n">
        <v>1485</v>
      </c>
      <c r="H67" s="5" t="n">
        <v>1540</v>
      </c>
      <c r="I67" s="13" t="n">
        <v>1</v>
      </c>
      <c r="J67" s="13" t="n">
        <v>1.04</v>
      </c>
      <c r="K67" s="16" t="s">
        <v>56</v>
      </c>
      <c r="L67" s="5" t="n">
        <f aca="false">ROUND(H67*$B$2,2)</f>
        <v>92.4</v>
      </c>
    </row>
    <row r="68" customFormat="false" ht="15" hidden="false" customHeight="false" outlineLevel="0" collapsed="false">
      <c r="A68" s="10" t="s">
        <v>94</v>
      </c>
      <c r="B68" s="10" t="s">
        <v>25</v>
      </c>
      <c r="C68" s="11" t="n">
        <v>46124</v>
      </c>
      <c r="D68" s="11" t="n">
        <v>46132</v>
      </c>
      <c r="E68" s="10" t="s">
        <v>26</v>
      </c>
      <c r="F68" s="12" t="n">
        <v>325</v>
      </c>
      <c r="G68" s="5" t="n">
        <v>2439.4</v>
      </c>
      <c r="H68" s="5" t="n">
        <v>2605</v>
      </c>
      <c r="I68" s="13" t="n">
        <v>1</v>
      </c>
      <c r="J68" s="13" t="n">
        <v>1.07</v>
      </c>
      <c r="K68" s="16" t="s">
        <v>56</v>
      </c>
      <c r="L68" s="5" t="n">
        <f aca="false">ROUND(H68*$B$2,2)</f>
        <v>156.3</v>
      </c>
    </row>
    <row r="69" customFormat="false" ht="15" hidden="false" customHeight="false" outlineLevel="0" collapsed="false">
      <c r="A69" s="10" t="s">
        <v>95</v>
      </c>
      <c r="B69" s="10" t="s">
        <v>25</v>
      </c>
      <c r="C69" s="11" t="n">
        <v>46131</v>
      </c>
      <c r="D69" s="11" t="n">
        <v>46181</v>
      </c>
      <c r="E69" s="10" t="s">
        <v>32</v>
      </c>
      <c r="F69" s="12" t="n">
        <v>70</v>
      </c>
      <c r="G69" s="5" t="n">
        <v>594.5</v>
      </c>
      <c r="H69" s="5" t="n">
        <v>382.7</v>
      </c>
      <c r="I69" s="13" t="n">
        <v>1</v>
      </c>
      <c r="J69" s="13" t="n">
        <v>0.64</v>
      </c>
      <c r="K69" s="15" t="s">
        <v>35</v>
      </c>
      <c r="L69" s="5" t="n">
        <f aca="false">ROUND(H69*$B$2,2)</f>
        <v>22.96</v>
      </c>
    </row>
    <row r="70" customFormat="false" ht="15" hidden="false" customHeight="false" outlineLevel="0" collapsed="false">
      <c r="A70" s="10" t="s">
        <v>96</v>
      </c>
      <c r="B70" s="10" t="s">
        <v>25</v>
      </c>
      <c r="C70" s="11" t="n">
        <v>46131</v>
      </c>
      <c r="D70" s="11" t="n">
        <v>46135</v>
      </c>
      <c r="E70" s="10" t="s">
        <v>26</v>
      </c>
      <c r="F70" s="12" t="n">
        <v>250</v>
      </c>
      <c r="G70" s="5" t="n">
        <v>1579.82</v>
      </c>
      <c r="H70" s="5" t="n">
        <v>1552.32</v>
      </c>
      <c r="I70" s="13" t="n">
        <v>1</v>
      </c>
      <c r="J70" s="13" t="n">
        <v>0.98</v>
      </c>
      <c r="K70" s="15" t="s">
        <v>35</v>
      </c>
      <c r="L70" s="5" t="n">
        <f aca="false">ROUND(H70*$B$2,2)</f>
        <v>93.14</v>
      </c>
    </row>
    <row r="71" customFormat="false" ht="15" hidden="false" customHeight="false" outlineLevel="0" collapsed="false">
      <c r="A71" s="10" t="s">
        <v>97</v>
      </c>
      <c r="B71" s="10" t="s">
        <v>25</v>
      </c>
      <c r="C71" s="11" t="n">
        <v>46138</v>
      </c>
      <c r="D71" s="11" t="n">
        <v>46143</v>
      </c>
      <c r="E71" s="10" t="s">
        <v>32</v>
      </c>
      <c r="F71" s="12" t="n">
        <v>17</v>
      </c>
      <c r="G71" s="5" t="n">
        <v>173.7</v>
      </c>
      <c r="H71" s="5" t="n">
        <v>173.7</v>
      </c>
      <c r="I71" s="13" t="n">
        <v>1</v>
      </c>
      <c r="J71" s="13" t="n">
        <v>1</v>
      </c>
      <c r="K71" s="16" t="s">
        <v>56</v>
      </c>
      <c r="L71" s="5" t="n">
        <f aca="false">ROUND(H71*$B$2,2)</f>
        <v>10.42</v>
      </c>
    </row>
    <row r="72" customFormat="false" ht="15" hidden="false" customHeight="false" outlineLevel="0" collapsed="false">
      <c r="A72" s="10" t="s">
        <v>98</v>
      </c>
      <c r="B72" s="10" t="s">
        <v>25</v>
      </c>
      <c r="C72" s="11" t="n">
        <v>46138</v>
      </c>
      <c r="D72" s="11" t="n">
        <v>46182</v>
      </c>
      <c r="E72" s="10" t="s">
        <v>26</v>
      </c>
      <c r="F72" s="12" t="n">
        <v>12</v>
      </c>
      <c r="G72" s="5" t="n">
        <v>146.2</v>
      </c>
      <c r="H72" s="5" t="n">
        <v>237.4</v>
      </c>
      <c r="I72" s="13" t="n">
        <v>1</v>
      </c>
      <c r="J72" s="13" t="n">
        <v>1.62</v>
      </c>
      <c r="K72" s="16" t="s">
        <v>56</v>
      </c>
      <c r="L72" s="5" t="n">
        <f aca="false">ROUND(H72*$B$2,2)</f>
        <v>14.24</v>
      </c>
    </row>
    <row r="73" customFormat="false" ht="15" hidden="false" customHeight="false" outlineLevel="0" collapsed="false">
      <c r="A73" s="10" t="s">
        <v>99</v>
      </c>
      <c r="B73" s="10" t="s">
        <v>25</v>
      </c>
      <c r="C73" s="11" t="n">
        <v>46145</v>
      </c>
      <c r="D73" s="11" t="n">
        <v>46150</v>
      </c>
      <c r="E73" s="10" t="s">
        <v>32</v>
      </c>
      <c r="F73" s="12" t="n">
        <v>6</v>
      </c>
      <c r="G73" s="5" t="n">
        <v>278.4</v>
      </c>
      <c r="H73" s="5" t="n">
        <v>758.4</v>
      </c>
      <c r="I73" s="13" t="n">
        <v>1</v>
      </c>
      <c r="J73" s="13" t="n">
        <v>2.72</v>
      </c>
      <c r="K73" s="16" t="s">
        <v>56</v>
      </c>
      <c r="L73" s="5" t="n">
        <f aca="false">ROUND(H73*$B$2,2)</f>
        <v>45.5</v>
      </c>
    </row>
    <row r="74" customFormat="false" ht="15" hidden="false" customHeight="false" outlineLevel="0" collapsed="false">
      <c r="A74" s="10" t="s">
        <v>100</v>
      </c>
      <c r="B74" s="10" t="s">
        <v>25</v>
      </c>
      <c r="C74" s="11" t="n">
        <v>46145</v>
      </c>
      <c r="D74" s="11" t="n">
        <v>46149</v>
      </c>
      <c r="E74" s="10" t="s">
        <v>26</v>
      </c>
      <c r="F74" s="12" t="n">
        <v>6</v>
      </c>
      <c r="G74" s="5" t="n">
        <v>278.4</v>
      </c>
      <c r="H74" s="5" t="n">
        <v>758.4</v>
      </c>
      <c r="I74" s="13" t="n">
        <v>1</v>
      </c>
      <c r="J74" s="13" t="n">
        <v>2.72</v>
      </c>
      <c r="K74" s="16" t="s">
        <v>56</v>
      </c>
      <c r="L74" s="5" t="n">
        <f aca="false">ROUND(H74*$B$2,2)</f>
        <v>45.5</v>
      </c>
    </row>
    <row r="75" customFormat="false" ht="15" hidden="false" customHeight="false" outlineLevel="0" collapsed="false">
      <c r="A75" s="10" t="s">
        <v>101</v>
      </c>
      <c r="B75" s="10" t="s">
        <v>25</v>
      </c>
      <c r="C75" s="11" t="n">
        <v>46152</v>
      </c>
      <c r="D75" s="11" t="n">
        <v>46162</v>
      </c>
      <c r="E75" s="10" t="s">
        <v>32</v>
      </c>
      <c r="F75" s="12" t="n">
        <v>4</v>
      </c>
      <c r="G75" s="5" t="n">
        <v>182.4</v>
      </c>
      <c r="H75" s="5" t="n">
        <v>182.4</v>
      </c>
      <c r="I75" s="13" t="n">
        <v>1</v>
      </c>
      <c r="J75" s="13" t="n">
        <v>1</v>
      </c>
      <c r="K75" s="16" t="s">
        <v>56</v>
      </c>
      <c r="L75" s="5" t="n">
        <f aca="false">ROUND(H75*$B$2,2)</f>
        <v>10.94</v>
      </c>
    </row>
    <row r="76" customFormat="false" ht="15" hidden="false" customHeight="false" outlineLevel="0" collapsed="false">
      <c r="A76" s="10" t="s">
        <v>102</v>
      </c>
      <c r="B76" s="10" t="s">
        <v>25</v>
      </c>
      <c r="C76" s="11" t="n">
        <v>46152</v>
      </c>
      <c r="D76" s="11" t="n">
        <v>46156</v>
      </c>
      <c r="E76" s="10" t="s">
        <v>26</v>
      </c>
      <c r="F76" s="12" t="n">
        <v>9</v>
      </c>
      <c r="G76" s="5" t="n">
        <v>364.8</v>
      </c>
      <c r="H76" s="5" t="n">
        <v>364.8</v>
      </c>
      <c r="I76" s="13" t="n">
        <v>1</v>
      </c>
      <c r="J76" s="13" t="n">
        <v>1</v>
      </c>
      <c r="K76" s="16" t="s">
        <v>56</v>
      </c>
      <c r="L76" s="5" t="n">
        <f aca="false">ROUND(H76*$B$2,2)</f>
        <v>21.89</v>
      </c>
    </row>
    <row r="77" customFormat="false" ht="15" hidden="false" customHeight="false" outlineLevel="0" collapsed="false">
      <c r="A77" s="10" t="s">
        <v>103</v>
      </c>
      <c r="B77" s="10" t="s">
        <v>25</v>
      </c>
      <c r="C77" s="11" t="n">
        <v>46156</v>
      </c>
      <c r="D77" s="11" t="n">
        <v>46162</v>
      </c>
      <c r="E77" s="10" t="s">
        <v>26</v>
      </c>
      <c r="F77" s="12" t="n">
        <v>5</v>
      </c>
      <c r="G77" s="5" t="n">
        <v>168.9</v>
      </c>
      <c r="H77" s="5" t="n">
        <v>65.1</v>
      </c>
      <c r="I77" s="13" t="n">
        <v>1</v>
      </c>
      <c r="J77" s="13" t="n">
        <v>0.39</v>
      </c>
      <c r="K77" s="15" t="s">
        <v>35</v>
      </c>
      <c r="L77" s="5" t="n">
        <f aca="false">ROUND(H77*$B$2,2)</f>
        <v>3.91</v>
      </c>
    </row>
    <row r="78" customFormat="false" ht="15" hidden="false" customHeight="false" outlineLevel="0" collapsed="false">
      <c r="A78" s="10" t="s">
        <v>104</v>
      </c>
      <c r="B78" s="10" t="s">
        <v>25</v>
      </c>
      <c r="C78" s="11" t="n">
        <v>46156</v>
      </c>
      <c r="D78" s="11" t="n">
        <v>46165</v>
      </c>
      <c r="E78" s="10" t="s">
        <v>32</v>
      </c>
      <c r="F78" s="12" t="n">
        <v>235</v>
      </c>
      <c r="G78" s="5" t="n">
        <v>1292.5</v>
      </c>
      <c r="H78" s="5" t="n">
        <v>1287</v>
      </c>
      <c r="I78" s="13" t="n">
        <v>1</v>
      </c>
      <c r="J78" s="13" t="n">
        <v>1</v>
      </c>
      <c r="K78" s="15" t="s">
        <v>35</v>
      </c>
      <c r="L78" s="5" t="n">
        <f aca="false">ROUND(H78*$B$2,2)</f>
        <v>77.22</v>
      </c>
    </row>
    <row r="79" customFormat="false" ht="15" hidden="false" customHeight="false" outlineLevel="0" collapsed="false">
      <c r="A79" s="10" t="s">
        <v>105</v>
      </c>
      <c r="B79" s="10" t="s">
        <v>25</v>
      </c>
      <c r="C79" s="11" t="n">
        <v>46156</v>
      </c>
      <c r="D79" s="11" t="n">
        <v>46161</v>
      </c>
      <c r="E79" s="10" t="s">
        <v>26</v>
      </c>
      <c r="F79" s="12" t="n">
        <v>280</v>
      </c>
      <c r="G79" s="5" t="n">
        <v>1540</v>
      </c>
      <c r="H79" s="5" t="n">
        <v>1540</v>
      </c>
      <c r="I79" s="13" t="n">
        <v>1</v>
      </c>
      <c r="J79" s="13" t="n">
        <v>1</v>
      </c>
      <c r="K79" s="16" t="s">
        <v>56</v>
      </c>
      <c r="L79" s="5" t="n">
        <f aca="false">ROUND(H79*$B$2,2)</f>
        <v>92.4</v>
      </c>
    </row>
    <row r="80" customFormat="false" ht="15" hidden="false" customHeight="false" outlineLevel="0" collapsed="false">
      <c r="A80" s="10" t="s">
        <v>106</v>
      </c>
      <c r="B80" s="10" t="s">
        <v>25</v>
      </c>
      <c r="C80" s="11" t="n">
        <v>46159</v>
      </c>
      <c r="D80" s="11" t="n">
        <v>46184</v>
      </c>
      <c r="E80" s="10" t="s">
        <v>32</v>
      </c>
      <c r="F80" s="12" t="n">
        <v>3</v>
      </c>
      <c r="G80" s="5" t="n">
        <v>102.9</v>
      </c>
      <c r="H80" s="5" t="n">
        <v>102.9</v>
      </c>
      <c r="I80" s="13" t="n">
        <v>1</v>
      </c>
      <c r="J80" s="13" t="n">
        <v>1</v>
      </c>
      <c r="K80" s="16" t="s">
        <v>56</v>
      </c>
      <c r="L80" s="5" t="n">
        <f aca="false">ROUND(H80*$B$2,2)</f>
        <v>6.17</v>
      </c>
    </row>
    <row r="81" customFormat="false" ht="15" hidden="false" customHeight="false" outlineLevel="0" collapsed="false">
      <c r="A81" s="10" t="s">
        <v>107</v>
      </c>
      <c r="B81" s="10" t="s">
        <v>25</v>
      </c>
      <c r="C81" s="11" t="n">
        <v>46159</v>
      </c>
      <c r="D81" s="11" t="n">
        <v>46180</v>
      </c>
      <c r="E81" s="10" t="s">
        <v>26</v>
      </c>
      <c r="F81" s="12" t="n">
        <v>2</v>
      </c>
      <c r="G81" s="5" t="n">
        <v>206.4</v>
      </c>
      <c r="H81" s="5" t="n">
        <v>206.4</v>
      </c>
      <c r="I81" s="13" t="n">
        <v>1</v>
      </c>
      <c r="J81" s="13" t="n">
        <v>1</v>
      </c>
      <c r="K81" s="16" t="s">
        <v>56</v>
      </c>
      <c r="L81" s="5" t="n">
        <f aca="false">ROUND(H81*$B$2,2)</f>
        <v>12.38</v>
      </c>
    </row>
    <row r="82" customFormat="false" ht="15" hidden="false" customHeight="false" outlineLevel="0" collapsed="false">
      <c r="A82" s="10" t="s">
        <v>108</v>
      </c>
      <c r="B82" s="10" t="s">
        <v>25</v>
      </c>
      <c r="C82" s="11" t="n">
        <v>46166</v>
      </c>
      <c r="D82" s="11" t="n">
        <v>46191</v>
      </c>
      <c r="E82" s="10" t="s">
        <v>26</v>
      </c>
      <c r="F82" s="12" t="n">
        <v>32</v>
      </c>
      <c r="G82" s="5" t="n">
        <v>716.7</v>
      </c>
      <c r="H82" s="5" t="n">
        <v>700.3</v>
      </c>
      <c r="I82" s="13" t="n">
        <v>1</v>
      </c>
      <c r="J82" s="13" t="n">
        <v>0.98</v>
      </c>
      <c r="K82" s="15" t="s">
        <v>35</v>
      </c>
      <c r="L82" s="5" t="n">
        <f aca="false">ROUND(H82*$B$2,2)</f>
        <v>42.02</v>
      </c>
    </row>
    <row r="83" customFormat="false" ht="15" hidden="false" customHeight="false" outlineLevel="0" collapsed="false">
      <c r="A83" s="10" t="s">
        <v>109</v>
      </c>
      <c r="B83" s="10" t="s">
        <v>25</v>
      </c>
      <c r="C83" s="11" t="n">
        <v>46166</v>
      </c>
      <c r="D83" s="11" t="n">
        <v>46176</v>
      </c>
      <c r="E83" s="10" t="s">
        <v>32</v>
      </c>
      <c r="F83" s="12" t="n">
        <v>9</v>
      </c>
      <c r="G83" s="5" t="n">
        <v>530.4</v>
      </c>
      <c r="H83" s="5" t="n">
        <v>242.4</v>
      </c>
      <c r="I83" s="13" t="n">
        <v>1</v>
      </c>
      <c r="J83" s="13" t="n">
        <v>0.46</v>
      </c>
      <c r="K83" s="15" t="s">
        <v>35</v>
      </c>
      <c r="L83" s="5" t="n">
        <f aca="false">ROUND(H83*$B$2,2)</f>
        <v>14.54</v>
      </c>
    </row>
    <row r="84" customFormat="false" ht="15" hidden="false" customHeight="false" outlineLevel="0" collapsed="false">
      <c r="A84" s="10" t="s">
        <v>110</v>
      </c>
      <c r="B84" s="10" t="s">
        <v>25</v>
      </c>
      <c r="C84" s="11" t="n">
        <v>46173</v>
      </c>
      <c r="D84" s="11" t="n">
        <v>46232</v>
      </c>
      <c r="E84" s="10" t="s">
        <v>26</v>
      </c>
      <c r="F84" s="12" t="n">
        <v>2</v>
      </c>
      <c r="G84" s="5" t="n">
        <v>55.2</v>
      </c>
      <c r="H84" s="5" t="n">
        <v>0</v>
      </c>
      <c r="I84" s="13" t="n">
        <v>1</v>
      </c>
      <c r="J84" s="13" t="n">
        <v>0</v>
      </c>
      <c r="K84" s="14" t="s">
        <v>27</v>
      </c>
      <c r="L84" s="5" t="n">
        <f aca="false">ROUND(H84*$B$2,2)</f>
        <v>0</v>
      </c>
    </row>
    <row r="85" customFormat="false" ht="15" hidden="false" customHeight="false" outlineLevel="0" collapsed="false">
      <c r="A85" s="10" t="s">
        <v>111</v>
      </c>
      <c r="B85" s="10" t="s">
        <v>25</v>
      </c>
      <c r="C85" s="11" t="n">
        <v>46173</v>
      </c>
      <c r="D85" s="11" t="n">
        <v>46180</v>
      </c>
      <c r="E85" s="10" t="s">
        <v>32</v>
      </c>
      <c r="F85" s="12" t="n">
        <v>2</v>
      </c>
      <c r="G85" s="5" t="n">
        <v>73.2</v>
      </c>
      <c r="H85" s="5" t="n">
        <v>73.2</v>
      </c>
      <c r="I85" s="13" t="n">
        <v>1</v>
      </c>
      <c r="J85" s="13" t="n">
        <v>1</v>
      </c>
      <c r="K85" s="16" t="s">
        <v>56</v>
      </c>
      <c r="L85" s="5" t="n">
        <f aca="false">ROUND(H85*$B$2,2)</f>
        <v>4.39</v>
      </c>
    </row>
    <row r="86" customFormat="false" ht="15" hidden="false" customHeight="false" outlineLevel="0" collapsed="false">
      <c r="A86" s="10" t="s">
        <v>112</v>
      </c>
      <c r="B86" s="10" t="s">
        <v>25</v>
      </c>
      <c r="C86" s="11" t="n">
        <v>46180</v>
      </c>
      <c r="D86" s="11" t="n">
        <v>46183</v>
      </c>
      <c r="E86" s="10" t="s">
        <v>32</v>
      </c>
      <c r="F86" s="12" t="n">
        <v>2</v>
      </c>
      <c r="G86" s="5" t="n">
        <v>91.2</v>
      </c>
      <c r="H86" s="5" t="n">
        <v>91.2</v>
      </c>
      <c r="I86" s="13" t="n">
        <v>1</v>
      </c>
      <c r="J86" s="13" t="n">
        <v>1</v>
      </c>
      <c r="K86" s="16" t="s">
        <v>56</v>
      </c>
      <c r="L86" s="5" t="n">
        <f aca="false">ROUND(H86*$B$2,2)</f>
        <v>5.47</v>
      </c>
    </row>
    <row r="87" customFormat="false" ht="15" hidden="false" customHeight="false" outlineLevel="0" collapsed="false">
      <c r="A87" s="10" t="s">
        <v>113</v>
      </c>
      <c r="B87" s="10" t="s">
        <v>25</v>
      </c>
      <c r="C87" s="11" t="n">
        <v>46180</v>
      </c>
      <c r="D87" s="11" t="n">
        <v>46217</v>
      </c>
      <c r="E87" s="10" t="s">
        <v>26</v>
      </c>
      <c r="F87" s="12" t="n">
        <v>10</v>
      </c>
      <c r="G87" s="5" t="n">
        <v>348</v>
      </c>
      <c r="H87" s="5" t="n">
        <v>91.2</v>
      </c>
      <c r="I87" s="13" t="n">
        <v>1</v>
      </c>
      <c r="J87" s="13" t="n">
        <v>0.26</v>
      </c>
      <c r="K87" s="14" t="s">
        <v>27</v>
      </c>
      <c r="L87" s="5" t="n">
        <f aca="false">ROUND(H87*$B$2,2)</f>
        <v>5.47</v>
      </c>
    </row>
    <row r="88" customFormat="false" ht="15" hidden="false" customHeight="false" outlineLevel="0" collapsed="false">
      <c r="A88" s="10" t="s">
        <v>114</v>
      </c>
      <c r="B88" s="10" t="s">
        <v>25</v>
      </c>
      <c r="C88" s="11" t="n">
        <v>46187</v>
      </c>
      <c r="D88" s="11" t="n">
        <v>46191</v>
      </c>
      <c r="E88" s="10" t="s">
        <v>32</v>
      </c>
      <c r="F88" s="12" t="n">
        <v>137</v>
      </c>
      <c r="G88" s="5" t="n">
        <v>833.7</v>
      </c>
      <c r="H88" s="5" t="n">
        <v>833.7</v>
      </c>
      <c r="I88" s="13" t="n">
        <v>1</v>
      </c>
      <c r="J88" s="13" t="n">
        <v>1</v>
      </c>
      <c r="K88" s="16" t="s">
        <v>56</v>
      </c>
      <c r="L88" s="5" t="n">
        <f aca="false">ROUND(H88*$B$2,2)</f>
        <v>50.02</v>
      </c>
    </row>
    <row r="89" customFormat="false" ht="15" hidden="false" customHeight="false" outlineLevel="0" collapsed="false">
      <c r="A89" s="10" t="s">
        <v>115</v>
      </c>
      <c r="B89" s="10" t="s">
        <v>25</v>
      </c>
      <c r="C89" s="11" t="n">
        <v>46187</v>
      </c>
      <c r="D89" s="11" t="n">
        <v>46193</v>
      </c>
      <c r="E89" s="10" t="s">
        <v>116</v>
      </c>
      <c r="F89" s="12" t="n">
        <v>12</v>
      </c>
      <c r="G89" s="5" t="n">
        <v>367.2</v>
      </c>
      <c r="H89" s="5" t="n">
        <v>367.2</v>
      </c>
      <c r="I89" s="13" t="n">
        <v>1</v>
      </c>
      <c r="J89" s="13" t="n">
        <v>1</v>
      </c>
      <c r="K89" s="16" t="s">
        <v>56</v>
      </c>
      <c r="L89" s="5" t="n">
        <f aca="false">ROUND(H89*$B$2,2)</f>
        <v>22.03</v>
      </c>
    </row>
    <row r="90" customFormat="false" ht="15" hidden="false" customHeight="false" outlineLevel="0" collapsed="false">
      <c r="A90" s="10" t="s">
        <v>117</v>
      </c>
      <c r="B90" s="10" t="s">
        <v>25</v>
      </c>
      <c r="C90" s="11" t="n">
        <v>46187</v>
      </c>
      <c r="D90" s="11" t="n">
        <v>46190</v>
      </c>
      <c r="E90" s="10" t="s">
        <v>26</v>
      </c>
      <c r="F90" s="12" t="n">
        <v>20</v>
      </c>
      <c r="G90" s="5" t="n">
        <v>660</v>
      </c>
      <c r="H90" s="5" t="n">
        <v>660</v>
      </c>
      <c r="I90" s="13" t="n">
        <v>1</v>
      </c>
      <c r="J90" s="13" t="n">
        <v>1</v>
      </c>
      <c r="K90" s="16" t="s">
        <v>56</v>
      </c>
      <c r="L90" s="5" t="n">
        <f aca="false">ROUND(H90*$B$2,2)</f>
        <v>39.6</v>
      </c>
    </row>
    <row r="91" customFormat="false" ht="15" hidden="false" customHeight="false" outlineLevel="0" collapsed="false">
      <c r="A91" s="10" t="s">
        <v>118</v>
      </c>
      <c r="B91" s="10" t="s">
        <v>25</v>
      </c>
      <c r="C91" s="11" t="n">
        <v>46194</v>
      </c>
      <c r="D91" s="11" t="n">
        <v>46201</v>
      </c>
      <c r="E91" s="10" t="s">
        <v>26</v>
      </c>
      <c r="F91" s="12" t="n">
        <v>9</v>
      </c>
      <c r="G91" s="5" t="n">
        <v>201.4</v>
      </c>
      <c r="H91" s="5" t="n">
        <v>201.4</v>
      </c>
      <c r="I91" s="13" t="n">
        <v>1</v>
      </c>
      <c r="J91" s="13" t="n">
        <v>1</v>
      </c>
      <c r="K91" s="16" t="s">
        <v>56</v>
      </c>
      <c r="L91" s="5" t="n">
        <f aca="false">ROUND(H91*$B$2,2)</f>
        <v>12.08</v>
      </c>
    </row>
    <row r="92" customFormat="false" ht="15" hidden="false" customHeight="false" outlineLevel="0" collapsed="false">
      <c r="A92" s="10" t="s">
        <v>119</v>
      </c>
      <c r="B92" s="10" t="s">
        <v>25</v>
      </c>
      <c r="C92" s="11" t="n">
        <v>46194</v>
      </c>
      <c r="D92" s="11" t="n">
        <v>46197</v>
      </c>
      <c r="E92" s="10" t="s">
        <v>32</v>
      </c>
      <c r="F92" s="12" t="n">
        <v>13</v>
      </c>
      <c r="G92" s="5" t="n">
        <v>157.9</v>
      </c>
      <c r="H92" s="5" t="n">
        <v>157.9</v>
      </c>
      <c r="I92" s="13" t="n">
        <v>1</v>
      </c>
      <c r="J92" s="13" t="n">
        <v>1</v>
      </c>
      <c r="K92" s="16" t="s">
        <v>56</v>
      </c>
      <c r="L92" s="5" t="n">
        <f aca="false">ROUND(H92*$B$2,2)</f>
        <v>9.47</v>
      </c>
    </row>
    <row r="93" customFormat="false" ht="15" hidden="false" customHeight="false" outlineLevel="0" collapsed="false">
      <c r="A93" s="10" t="s">
        <v>120</v>
      </c>
      <c r="B93" s="10" t="s">
        <v>25</v>
      </c>
      <c r="C93" s="11" t="n">
        <v>46201</v>
      </c>
      <c r="D93" s="11" t="n">
        <v>46204</v>
      </c>
      <c r="E93" s="10" t="s">
        <v>32</v>
      </c>
      <c r="F93" s="12" t="n">
        <v>5</v>
      </c>
      <c r="G93" s="5" t="n">
        <v>27.5</v>
      </c>
      <c r="H93" s="5" t="n">
        <v>27.5</v>
      </c>
      <c r="I93" s="13" t="n">
        <v>1</v>
      </c>
      <c r="J93" s="13" t="n">
        <v>1</v>
      </c>
      <c r="K93" s="16" t="s">
        <v>56</v>
      </c>
      <c r="L93" s="5" t="n">
        <f aca="false">ROUND(H93*$B$2,2)</f>
        <v>1.65</v>
      </c>
    </row>
    <row r="94" customFormat="false" ht="15" hidden="false" customHeight="false" outlineLevel="0" collapsed="false">
      <c r="A94" s="10" t="s">
        <v>121</v>
      </c>
      <c r="B94" s="10" t="s">
        <v>25</v>
      </c>
      <c r="C94" s="11" t="n">
        <v>46208</v>
      </c>
      <c r="D94" s="11" t="n">
        <v>46211</v>
      </c>
      <c r="E94" s="10" t="s">
        <v>116</v>
      </c>
      <c r="F94" s="12" t="n">
        <v>2</v>
      </c>
      <c r="G94" s="5" t="n">
        <v>73.2</v>
      </c>
      <c r="H94" s="5" t="n">
        <v>73.2</v>
      </c>
      <c r="I94" s="13" t="n">
        <v>1</v>
      </c>
      <c r="J94" s="13" t="n">
        <v>1</v>
      </c>
      <c r="K94" s="16" t="s">
        <v>56</v>
      </c>
      <c r="L94" s="5" t="n">
        <f aca="false">ROUND(H94*$B$2,2)</f>
        <v>4.39</v>
      </c>
    </row>
    <row r="95" customFormat="false" ht="15" hidden="false" customHeight="false" outlineLevel="0" collapsed="false">
      <c r="A95" s="10" t="s">
        <v>122</v>
      </c>
      <c r="B95" s="10" t="s">
        <v>25</v>
      </c>
      <c r="C95" s="11" t="n">
        <v>46208</v>
      </c>
      <c r="D95" s="11" t="n">
        <v>46211</v>
      </c>
      <c r="E95" s="10" t="s">
        <v>26</v>
      </c>
      <c r="F95" s="12" t="n">
        <v>8</v>
      </c>
      <c r="G95" s="5" t="n">
        <v>408</v>
      </c>
      <c r="H95" s="5" t="n">
        <v>408</v>
      </c>
      <c r="I95" s="13" t="n">
        <v>1</v>
      </c>
      <c r="J95" s="13" t="n">
        <v>1</v>
      </c>
      <c r="K95" s="16" t="s">
        <v>56</v>
      </c>
      <c r="L95" s="5" t="n">
        <f aca="false">ROUND(H95*$B$2,2)</f>
        <v>24.48</v>
      </c>
    </row>
    <row r="96" customFormat="false" ht="15" hidden="false" customHeight="false" outlineLevel="0" collapsed="false">
      <c r="A96" s="10" t="s">
        <v>123</v>
      </c>
      <c r="B96" s="10" t="s">
        <v>25</v>
      </c>
      <c r="C96" s="11" t="n">
        <v>46208</v>
      </c>
      <c r="D96" s="11" t="n">
        <v>46213</v>
      </c>
      <c r="E96" s="10" t="s">
        <v>32</v>
      </c>
      <c r="F96" s="12" t="n">
        <v>81</v>
      </c>
      <c r="G96" s="5" t="n">
        <v>458.72</v>
      </c>
      <c r="H96" s="5" t="n">
        <v>440</v>
      </c>
      <c r="I96" s="13" t="n">
        <v>1</v>
      </c>
      <c r="J96" s="13" t="n">
        <v>0.96</v>
      </c>
      <c r="K96" s="15" t="s">
        <v>35</v>
      </c>
      <c r="L96" s="5" t="n">
        <f aca="false">ROUND(H96*$B$2,2)</f>
        <v>26.4</v>
      </c>
    </row>
    <row r="97" customFormat="false" ht="15" hidden="false" customHeight="false" outlineLevel="0" collapsed="false">
      <c r="A97" s="10" t="s">
        <v>124</v>
      </c>
      <c r="B97" s="10" t="s">
        <v>25</v>
      </c>
      <c r="C97" s="11" t="n">
        <v>46215</v>
      </c>
      <c r="D97" s="11" t="n">
        <v>46218</v>
      </c>
      <c r="E97" s="10" t="s">
        <v>116</v>
      </c>
      <c r="F97" s="12" t="n">
        <v>2</v>
      </c>
      <c r="G97" s="5" t="n">
        <v>206.4</v>
      </c>
      <c r="H97" s="5" t="n">
        <v>206.4</v>
      </c>
      <c r="I97" s="13" t="n">
        <v>1</v>
      </c>
      <c r="J97" s="13" t="n">
        <v>1</v>
      </c>
      <c r="K97" s="16" t="s">
        <v>56</v>
      </c>
      <c r="L97" s="5" t="n">
        <f aca="false">ROUND(H97*$B$2,2)</f>
        <v>12.38</v>
      </c>
    </row>
    <row r="98" customFormat="false" ht="15" hidden="false" customHeight="false" outlineLevel="0" collapsed="false">
      <c r="A98" s="10" t="s">
        <v>125</v>
      </c>
      <c r="B98" s="10" t="s">
        <v>25</v>
      </c>
      <c r="C98" s="11" t="n">
        <v>46215</v>
      </c>
      <c r="D98" s="11" t="n">
        <v>46217</v>
      </c>
      <c r="E98" s="10" t="s">
        <v>32</v>
      </c>
      <c r="F98" s="12" t="n">
        <v>15</v>
      </c>
      <c r="G98" s="5" t="n">
        <v>82.5</v>
      </c>
      <c r="H98" s="5" t="n">
        <v>82.5</v>
      </c>
      <c r="I98" s="13" t="n">
        <v>1</v>
      </c>
      <c r="J98" s="13" t="n">
        <v>1</v>
      </c>
      <c r="K98" s="16" t="s">
        <v>56</v>
      </c>
      <c r="L98" s="5" t="n">
        <f aca="false">ROUND(H98*$B$2,2)</f>
        <v>4.95</v>
      </c>
    </row>
    <row r="99" customFormat="false" ht="15" hidden="false" customHeight="false" outlineLevel="0" collapsed="false">
      <c r="A99" s="10" t="s">
        <v>126</v>
      </c>
      <c r="B99" s="10" t="s">
        <v>25</v>
      </c>
      <c r="C99" s="11" t="n">
        <v>46215</v>
      </c>
      <c r="D99" s="11" t="n">
        <v>46217</v>
      </c>
      <c r="E99" s="10" t="s">
        <v>26</v>
      </c>
      <c r="F99" s="12" t="n">
        <v>22</v>
      </c>
      <c r="G99" s="5" t="n">
        <v>495.2</v>
      </c>
      <c r="H99" s="5" t="n">
        <v>385.2</v>
      </c>
      <c r="I99" s="13" t="n">
        <v>1</v>
      </c>
      <c r="J99" s="13" t="n">
        <v>0.78</v>
      </c>
      <c r="K99" s="15" t="s">
        <v>35</v>
      </c>
      <c r="L99" s="5" t="n">
        <f aca="false">ROUND(H99*$B$2,2)</f>
        <v>23.11</v>
      </c>
    </row>
    <row r="100" customFormat="false" ht="15" hidden="false" customHeight="false" outlineLevel="0" collapsed="false">
      <c r="A100" s="10" t="s">
        <v>127</v>
      </c>
      <c r="B100" s="10" t="s">
        <v>25</v>
      </c>
      <c r="C100" s="11" t="n">
        <v>46217</v>
      </c>
      <c r="D100" s="11" t="n">
        <v>46232</v>
      </c>
      <c r="E100" s="10" t="s">
        <v>32</v>
      </c>
      <c r="F100" s="12" t="n">
        <v>12</v>
      </c>
      <c r="G100" s="5" t="n">
        <v>547.2</v>
      </c>
      <c r="H100" s="5" t="n">
        <v>0</v>
      </c>
      <c r="I100" s="13" t="n">
        <v>0</v>
      </c>
      <c r="J100" s="13" t="n">
        <v>0</v>
      </c>
      <c r="K100" s="14" t="s">
        <v>27</v>
      </c>
      <c r="L100" s="5" t="n">
        <f aca="false">ROUND(H100*$B$2,2)</f>
        <v>0</v>
      </c>
    </row>
    <row r="101" customFormat="false" ht="15" hidden="false" customHeight="false" outlineLevel="0" collapsed="false">
      <c r="A101" s="10" t="s">
        <v>128</v>
      </c>
      <c r="B101" s="10" t="s">
        <v>25</v>
      </c>
      <c r="C101" s="11" t="n">
        <v>46217</v>
      </c>
      <c r="D101" s="11" t="n">
        <v>46232</v>
      </c>
      <c r="E101" s="10" t="s">
        <v>26</v>
      </c>
      <c r="F101" s="12" t="n">
        <v>6</v>
      </c>
      <c r="G101" s="5" t="n">
        <v>273.6</v>
      </c>
      <c r="H101" s="5" t="n">
        <v>0</v>
      </c>
      <c r="I101" s="13" t="n">
        <v>0</v>
      </c>
      <c r="J101" s="13" t="n">
        <v>0</v>
      </c>
      <c r="K101" s="14" t="s">
        <v>27</v>
      </c>
      <c r="L101" s="5" t="n">
        <f aca="false">ROUND(H101*$B$2,2)</f>
        <v>0</v>
      </c>
    </row>
    <row r="102" customFormat="false" ht="15" hidden="false" customHeight="false" outlineLevel="0" collapsed="false">
      <c r="A102" s="10" t="s">
        <v>129</v>
      </c>
      <c r="B102" s="10" t="s">
        <v>25</v>
      </c>
      <c r="C102" s="11" t="n">
        <v>46222</v>
      </c>
      <c r="D102" s="11" t="n">
        <v>46231</v>
      </c>
      <c r="E102" s="10" t="s">
        <v>116</v>
      </c>
      <c r="F102" s="12" t="n">
        <v>10</v>
      </c>
      <c r="G102" s="5" t="n">
        <v>330</v>
      </c>
      <c r="H102" s="5" t="n">
        <v>330</v>
      </c>
      <c r="I102" s="13" t="n">
        <v>1</v>
      </c>
      <c r="J102" s="13" t="n">
        <v>1</v>
      </c>
      <c r="K102" s="16" t="s">
        <v>56</v>
      </c>
      <c r="L102" s="5" t="n">
        <f aca="false">ROUND(H102*$B$2,2)</f>
        <v>19.8</v>
      </c>
    </row>
    <row r="103" customFormat="false" ht="15" hidden="false" customHeight="false" outlineLevel="0" collapsed="false">
      <c r="A103" s="10" t="s">
        <v>130</v>
      </c>
      <c r="B103" s="10" t="s">
        <v>25</v>
      </c>
      <c r="C103" s="11" t="n">
        <v>46222</v>
      </c>
      <c r="D103" s="11" t="n">
        <v>46232</v>
      </c>
      <c r="E103" s="10" t="s">
        <v>32</v>
      </c>
      <c r="F103" s="12" t="n">
        <v>95</v>
      </c>
      <c r="G103" s="5" t="n">
        <v>577.5</v>
      </c>
      <c r="H103" s="5" t="n">
        <v>577.5</v>
      </c>
      <c r="I103" s="13" t="n">
        <v>1</v>
      </c>
      <c r="J103" s="13" t="n">
        <v>1</v>
      </c>
      <c r="K103" s="16" t="s">
        <v>56</v>
      </c>
      <c r="L103" s="5" t="n">
        <f aca="false">ROUND(H103*$B$2,2)</f>
        <v>34.65</v>
      </c>
    </row>
    <row r="104" customFormat="false" ht="15" hidden="false" customHeight="false" outlineLevel="0" collapsed="false">
      <c r="A104" s="10" t="s">
        <v>131</v>
      </c>
      <c r="B104" s="10" t="s">
        <v>25</v>
      </c>
      <c r="C104" s="11" t="n">
        <v>46222</v>
      </c>
      <c r="D104" s="11" t="n">
        <v>46232</v>
      </c>
      <c r="E104" s="10" t="s">
        <v>26</v>
      </c>
      <c r="F104" s="12" t="n">
        <v>222</v>
      </c>
      <c r="G104" s="5" t="n">
        <v>2310</v>
      </c>
      <c r="H104" s="5" t="n">
        <v>2310</v>
      </c>
      <c r="I104" s="13" t="n">
        <v>1</v>
      </c>
      <c r="J104" s="13" t="n">
        <v>1</v>
      </c>
      <c r="K104" s="16" t="s">
        <v>56</v>
      </c>
      <c r="L104" s="5" t="n">
        <f aca="false">ROUND(H104*$B$2,2)</f>
        <v>138.6</v>
      </c>
    </row>
    <row r="105" customFormat="false" ht="15" hidden="false" customHeight="false" outlineLevel="0" collapsed="false">
      <c r="A105" s="10" t="s">
        <v>132</v>
      </c>
      <c r="B105" s="10" t="s">
        <v>25</v>
      </c>
      <c r="C105" s="11" t="n">
        <v>46229</v>
      </c>
      <c r="D105" s="11" t="n">
        <v>46231</v>
      </c>
      <c r="E105" s="10" t="s">
        <v>32</v>
      </c>
      <c r="F105" s="12" t="n">
        <v>45</v>
      </c>
      <c r="G105" s="5" t="n">
        <v>247.5</v>
      </c>
      <c r="H105" s="5" t="n">
        <v>247.5</v>
      </c>
      <c r="I105" s="13" t="n">
        <v>1</v>
      </c>
      <c r="J105" s="13" t="n">
        <v>1</v>
      </c>
      <c r="K105" s="16" t="s">
        <v>56</v>
      </c>
      <c r="L105" s="5" t="n">
        <f aca="false">ROUND(H105*$B$2,2)</f>
        <v>14.85</v>
      </c>
    </row>
    <row r="106" customFormat="false" ht="15" hidden="false" customHeight="false" outlineLevel="0" collapsed="false">
      <c r="A106" s="10" t="s">
        <v>133</v>
      </c>
      <c r="B106" s="10" t="s">
        <v>25</v>
      </c>
      <c r="C106" s="11" t="n">
        <v>46229</v>
      </c>
      <c r="D106" s="11" t="n">
        <v>46243</v>
      </c>
      <c r="E106" s="10" t="s">
        <v>26</v>
      </c>
      <c r="F106" s="12" t="n">
        <v>70</v>
      </c>
      <c r="G106" s="5" t="n">
        <v>385</v>
      </c>
      <c r="H106" s="5" t="n">
        <v>385</v>
      </c>
      <c r="I106" s="13" t="n">
        <v>1</v>
      </c>
      <c r="J106" s="13" t="n">
        <v>1</v>
      </c>
      <c r="K106" s="16" t="s">
        <v>56</v>
      </c>
      <c r="L106" s="5" t="n">
        <f aca="false">ROUND(H106*$B$2,2)</f>
        <v>23.1</v>
      </c>
    </row>
    <row r="107" customFormat="false" ht="15" hidden="false" customHeight="false" outlineLevel="0" collapsed="false">
      <c r="A107" s="10" t="s">
        <v>134</v>
      </c>
      <c r="B107" s="10" t="s">
        <v>25</v>
      </c>
      <c r="C107" s="11" t="n">
        <v>46240</v>
      </c>
      <c r="D107" s="11" t="n">
        <v>46246</v>
      </c>
      <c r="E107" s="10" t="s">
        <v>26</v>
      </c>
      <c r="F107" s="12" t="n">
        <v>8</v>
      </c>
      <c r="G107" s="5" t="n">
        <v>364.8</v>
      </c>
      <c r="H107" s="5" t="n">
        <v>364.8</v>
      </c>
      <c r="I107" s="13" t="n">
        <v>1</v>
      </c>
      <c r="J107" s="13" t="n">
        <v>1</v>
      </c>
      <c r="K107" s="16" t="s">
        <v>56</v>
      </c>
      <c r="L107" s="5" t="n">
        <f aca="false">ROUND(H107*$B$2,2)</f>
        <v>21.89</v>
      </c>
    </row>
    <row r="108" customFormat="false" ht="15" hidden="false" customHeight="false" outlineLevel="0" collapsed="false">
      <c r="A108" s="10" t="s">
        <v>135</v>
      </c>
      <c r="B108" s="10" t="s">
        <v>25</v>
      </c>
      <c r="C108" s="11" t="n">
        <v>46240</v>
      </c>
      <c r="D108" s="11" t="n">
        <v>46245</v>
      </c>
      <c r="E108" s="10" t="s">
        <v>116</v>
      </c>
      <c r="F108" s="12" t="n">
        <v>10</v>
      </c>
      <c r="G108" s="5" t="n">
        <v>456</v>
      </c>
      <c r="H108" s="5" t="n">
        <v>456</v>
      </c>
      <c r="I108" s="13" t="n">
        <v>1</v>
      </c>
      <c r="J108" s="13" t="n">
        <v>1</v>
      </c>
      <c r="K108" s="16" t="s">
        <v>56</v>
      </c>
      <c r="L108" s="5" t="n">
        <f aca="false">ROUND(H108*$B$2,2)</f>
        <v>27.36</v>
      </c>
    </row>
    <row r="109" customFormat="false" ht="15" hidden="false" customHeight="false" outlineLevel="0" collapsed="false">
      <c r="A109" s="10" t="s">
        <v>136</v>
      </c>
      <c r="B109" s="10" t="s">
        <v>25</v>
      </c>
      <c r="C109" s="11" t="n">
        <v>46240</v>
      </c>
      <c r="D109" s="11" t="n">
        <v>46246</v>
      </c>
      <c r="E109" s="10" t="s">
        <v>26</v>
      </c>
      <c r="F109" s="12" t="n">
        <v>10</v>
      </c>
      <c r="G109" s="5" t="n">
        <v>110</v>
      </c>
      <c r="H109" s="5" t="n">
        <v>110</v>
      </c>
      <c r="I109" s="13" t="n">
        <v>1</v>
      </c>
      <c r="J109" s="13" t="n">
        <v>1</v>
      </c>
      <c r="K109" s="16" t="s">
        <v>56</v>
      </c>
      <c r="L109" s="5" t="n">
        <f aca="false">ROUND(H109*$B$2,2)</f>
        <v>6.6</v>
      </c>
    </row>
    <row r="110" customFormat="false" ht="15" hidden="false" customHeight="false" outlineLevel="0" collapsed="false">
      <c r="A110" s="6" t="s">
        <v>8</v>
      </c>
      <c r="B110" s="6"/>
      <c r="C110" s="6"/>
      <c r="D110" s="6"/>
      <c r="E110" s="6"/>
      <c r="F110" s="17" t="n">
        <f aca="false">SUM(F5:F109)</f>
        <v>8328</v>
      </c>
      <c r="G110" s="7" t="n">
        <f aca="false">SUM(G5:G109)</f>
        <v>67833.3</v>
      </c>
      <c r="H110" s="7" t="n">
        <f aca="false">SUM(H5:H109)</f>
        <v>38429.08</v>
      </c>
      <c r="I110" s="6"/>
      <c r="J110" s="6"/>
      <c r="K110" s="6"/>
      <c r="L110" s="7" t="n">
        <f aca="false">SUM(L5:L109)</f>
        <v>2305.69</v>
      </c>
    </row>
  </sheetData>
  <autoFilter ref="A4:L10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7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3"/>
    <col collapsed="false" customWidth="true" hidden="false" outlineLevel="0" max="3" min="3" style="0" width="11.5"/>
    <col collapsed="false" customWidth="true" hidden="false" outlineLevel="0" max="4" min="4" style="0" width="13"/>
    <col collapsed="false" customWidth="true" hidden="false" outlineLevel="0" max="5" min="5" style="0" width="7"/>
    <col collapsed="false" customWidth="true" hidden="false" outlineLevel="0" max="6" min="6" style="0" width="8"/>
    <col collapsed="false" customWidth="true" hidden="false" outlineLevel="0" max="8" min="7" style="0" width="14"/>
    <col collapsed="false" customWidth="true" hidden="false" outlineLevel="0" max="10" min="9" style="0" width="9"/>
    <col collapsed="false" customWidth="true" hidden="false" outlineLevel="0" max="11" min="11" style="0" width="11.5"/>
    <col collapsed="false" customWidth="true" hidden="false" outlineLevel="0" max="12" min="12" style="0" width="15"/>
  </cols>
  <sheetData>
    <row r="1" customFormat="false" ht="16.15" hidden="false" customHeight="false" outlineLevel="0" collapsed="false">
      <c r="A1" s="1" t="s">
        <v>137</v>
      </c>
    </row>
    <row r="2" customFormat="false" ht="15" hidden="false" customHeight="false" outlineLevel="0" collapsed="false">
      <c r="A2" s="8" t="s">
        <v>10</v>
      </c>
      <c r="B2" s="9" t="n">
        <v>0.06</v>
      </c>
      <c r="D2" s="2" t="s">
        <v>11</v>
      </c>
    </row>
    <row r="4" customFormat="false" ht="15" hidden="false" customHeight="false" outlineLevel="0" collapsed="false">
      <c r="A4" s="3" t="s">
        <v>12</v>
      </c>
      <c r="B4" s="3" t="s">
        <v>13</v>
      </c>
      <c r="C4" s="3" t="s">
        <v>14</v>
      </c>
      <c r="D4" s="3" t="s">
        <v>15</v>
      </c>
      <c r="E4" s="3" t="s">
        <v>16</v>
      </c>
      <c r="F4" s="3" t="s">
        <v>17</v>
      </c>
      <c r="G4" s="3" t="s">
        <v>18</v>
      </c>
      <c r="H4" s="3" t="s">
        <v>19</v>
      </c>
      <c r="I4" s="3" t="s">
        <v>20</v>
      </c>
      <c r="J4" s="3" t="s">
        <v>21</v>
      </c>
      <c r="K4" s="3" t="s">
        <v>22</v>
      </c>
      <c r="L4" s="3" t="s">
        <v>23</v>
      </c>
    </row>
    <row r="5" customFormat="false" ht="15" hidden="false" customHeight="false" outlineLevel="0" collapsed="false">
      <c r="A5" s="10" t="s">
        <v>24</v>
      </c>
      <c r="B5" s="10" t="s">
        <v>25</v>
      </c>
      <c r="C5" s="11" t="n">
        <v>45914</v>
      </c>
      <c r="D5" s="11" t="n">
        <v>46082</v>
      </c>
      <c r="E5" s="10" t="s">
        <v>26</v>
      </c>
      <c r="F5" s="12" t="n">
        <v>6</v>
      </c>
      <c r="G5" s="5" t="n">
        <v>328.8</v>
      </c>
      <c r="H5" s="5" t="n">
        <v>0</v>
      </c>
      <c r="I5" s="13" t="n">
        <v>0</v>
      </c>
      <c r="J5" s="13" t="n">
        <v>0</v>
      </c>
      <c r="K5" s="14" t="s">
        <v>27</v>
      </c>
      <c r="L5" s="5" t="n">
        <f aca="false">ROUND(H5*$B$2,2)</f>
        <v>0</v>
      </c>
    </row>
    <row r="6" customFormat="false" ht="15" hidden="false" customHeight="false" outlineLevel="0" collapsed="false">
      <c r="A6" s="10" t="s">
        <v>138</v>
      </c>
      <c r="B6" s="10" t="s">
        <v>25</v>
      </c>
      <c r="C6" s="11" t="n">
        <v>45921</v>
      </c>
      <c r="D6" s="11" t="n">
        <v>46082</v>
      </c>
      <c r="E6" s="10" t="s">
        <v>26</v>
      </c>
      <c r="F6" s="12" t="n">
        <v>5</v>
      </c>
      <c r="G6" s="5" t="n">
        <v>309.2</v>
      </c>
      <c r="H6" s="5" t="n">
        <v>0</v>
      </c>
      <c r="I6" s="13" t="n">
        <v>1</v>
      </c>
      <c r="J6" s="13" t="n">
        <v>0</v>
      </c>
      <c r="K6" s="14" t="s">
        <v>27</v>
      </c>
      <c r="L6" s="5" t="n">
        <f aca="false">ROUND(H6*$B$2,2)</f>
        <v>0</v>
      </c>
    </row>
    <row r="7" customFormat="false" ht="15" hidden="false" customHeight="false" outlineLevel="0" collapsed="false">
      <c r="A7" s="10" t="s">
        <v>29</v>
      </c>
      <c r="B7" s="10" t="s">
        <v>25</v>
      </c>
      <c r="C7" s="11" t="n">
        <v>45928</v>
      </c>
      <c r="D7" s="11" t="n">
        <v>46082</v>
      </c>
      <c r="E7" s="10" t="s">
        <v>26</v>
      </c>
      <c r="F7" s="12" t="n">
        <v>6</v>
      </c>
      <c r="G7" s="5" t="n">
        <v>331.64</v>
      </c>
      <c r="H7" s="5" t="n">
        <v>0</v>
      </c>
      <c r="I7" s="13" t="n">
        <v>1</v>
      </c>
      <c r="J7" s="13" t="n">
        <v>0</v>
      </c>
      <c r="K7" s="14" t="s">
        <v>27</v>
      </c>
      <c r="L7" s="5" t="n">
        <f aca="false">ROUND(H7*$B$2,2)</f>
        <v>0</v>
      </c>
    </row>
    <row r="8" customFormat="false" ht="15" hidden="false" customHeight="false" outlineLevel="0" collapsed="false">
      <c r="A8" s="10" t="s">
        <v>139</v>
      </c>
      <c r="B8" s="10" t="s">
        <v>25</v>
      </c>
      <c r="C8" s="11" t="n">
        <v>45928</v>
      </c>
      <c r="D8" s="11" t="n">
        <v>46082</v>
      </c>
      <c r="E8" s="10" t="s">
        <v>32</v>
      </c>
      <c r="F8" s="12" t="n">
        <v>1</v>
      </c>
      <c r="G8" s="5" t="n">
        <v>102.8</v>
      </c>
      <c r="H8" s="5" t="n">
        <v>205.6</v>
      </c>
      <c r="I8" s="13" t="n">
        <v>1</v>
      </c>
      <c r="J8" s="13" t="n">
        <v>2</v>
      </c>
      <c r="K8" s="16" t="s">
        <v>56</v>
      </c>
      <c r="L8" s="5" t="n">
        <f aca="false">ROUND(H8*$B$2,2)</f>
        <v>12.34</v>
      </c>
    </row>
    <row r="9" customFormat="false" ht="15" hidden="false" customHeight="false" outlineLevel="0" collapsed="false">
      <c r="A9" s="10" t="s">
        <v>30</v>
      </c>
      <c r="B9" s="10" t="s">
        <v>25</v>
      </c>
      <c r="C9" s="11" t="n">
        <v>45935</v>
      </c>
      <c r="D9" s="11" t="n">
        <v>46082</v>
      </c>
      <c r="E9" s="10" t="s">
        <v>26</v>
      </c>
      <c r="F9" s="12" t="n">
        <v>4</v>
      </c>
      <c r="G9" s="5" t="n">
        <v>164.4</v>
      </c>
      <c r="H9" s="5" t="n">
        <v>0</v>
      </c>
      <c r="I9" s="13" t="n">
        <v>0</v>
      </c>
      <c r="J9" s="13" t="n">
        <v>0</v>
      </c>
      <c r="K9" s="14" t="s">
        <v>27</v>
      </c>
      <c r="L9" s="5" t="n">
        <f aca="false">ROUND(H9*$B$2,2)</f>
        <v>0</v>
      </c>
    </row>
    <row r="10" customFormat="false" ht="15" hidden="false" customHeight="false" outlineLevel="0" collapsed="false">
      <c r="A10" s="10" t="s">
        <v>31</v>
      </c>
      <c r="B10" s="10" t="s">
        <v>25</v>
      </c>
      <c r="C10" s="11" t="n">
        <v>45935</v>
      </c>
      <c r="D10" s="11" t="n">
        <v>46082</v>
      </c>
      <c r="E10" s="10" t="s">
        <v>32</v>
      </c>
      <c r="F10" s="12" t="n">
        <v>12</v>
      </c>
      <c r="G10" s="5" t="n">
        <v>90</v>
      </c>
      <c r="H10" s="5" t="n">
        <v>0</v>
      </c>
      <c r="I10" s="13" t="n">
        <v>0</v>
      </c>
      <c r="J10" s="13" t="n">
        <v>0</v>
      </c>
      <c r="K10" s="14" t="s">
        <v>27</v>
      </c>
      <c r="L10" s="5" t="n">
        <f aca="false">ROUND(H10*$B$2,2)</f>
        <v>0</v>
      </c>
    </row>
    <row r="11" customFormat="false" ht="15" hidden="false" customHeight="false" outlineLevel="0" collapsed="false">
      <c r="A11" s="10" t="s">
        <v>33</v>
      </c>
      <c r="B11" s="10" t="s">
        <v>25</v>
      </c>
      <c r="C11" s="11" t="n">
        <v>45942</v>
      </c>
      <c r="D11" s="11" t="n">
        <v>46022</v>
      </c>
      <c r="E11" s="10" t="s">
        <v>26</v>
      </c>
      <c r="F11" s="12" t="n">
        <v>8</v>
      </c>
      <c r="G11" s="5" t="n">
        <v>476.4</v>
      </c>
      <c r="H11" s="5" t="n">
        <v>0</v>
      </c>
      <c r="I11" s="13" t="n">
        <v>1</v>
      </c>
      <c r="J11" s="13" t="n">
        <v>0</v>
      </c>
      <c r="K11" s="14" t="s">
        <v>27</v>
      </c>
      <c r="L11" s="5" t="n">
        <f aca="false">ROUND(H11*$B$2,2)</f>
        <v>0</v>
      </c>
    </row>
    <row r="12" customFormat="false" ht="15" hidden="false" customHeight="false" outlineLevel="0" collapsed="false">
      <c r="A12" s="10" t="s">
        <v>34</v>
      </c>
      <c r="B12" s="10" t="s">
        <v>25</v>
      </c>
      <c r="C12" s="11" t="n">
        <v>45942</v>
      </c>
      <c r="D12" s="11" t="n">
        <v>45963</v>
      </c>
      <c r="E12" s="10" t="s">
        <v>32</v>
      </c>
      <c r="F12" s="12" t="n">
        <v>18</v>
      </c>
      <c r="G12" s="5" t="n">
        <v>1101.6</v>
      </c>
      <c r="H12" s="5" t="n">
        <v>1101.6</v>
      </c>
      <c r="I12" s="13" t="n">
        <v>1</v>
      </c>
      <c r="J12" s="13" t="n">
        <v>1</v>
      </c>
      <c r="K12" s="16" t="s">
        <v>56</v>
      </c>
      <c r="L12" s="5" t="n">
        <f aca="false">ROUND(H12*$B$2,2)</f>
        <v>66.1</v>
      </c>
    </row>
    <row r="13" customFormat="false" ht="15" hidden="false" customHeight="false" outlineLevel="0" collapsed="false">
      <c r="A13" s="10" t="s">
        <v>36</v>
      </c>
      <c r="B13" s="10" t="s">
        <v>25</v>
      </c>
      <c r="C13" s="11" t="n">
        <v>45949</v>
      </c>
      <c r="D13" s="11" t="n">
        <v>46082</v>
      </c>
      <c r="E13" s="10" t="s">
        <v>26</v>
      </c>
      <c r="F13" s="12" t="n">
        <v>20</v>
      </c>
      <c r="G13" s="5" t="n">
        <v>1224</v>
      </c>
      <c r="H13" s="5" t="n">
        <v>0</v>
      </c>
      <c r="I13" s="13" t="n">
        <v>0</v>
      </c>
      <c r="J13" s="13" t="n">
        <v>0</v>
      </c>
      <c r="K13" s="14" t="s">
        <v>27</v>
      </c>
      <c r="L13" s="5" t="n">
        <f aca="false">ROUND(H13*$B$2,2)</f>
        <v>0</v>
      </c>
    </row>
    <row r="14" customFormat="false" ht="15" hidden="false" customHeight="false" outlineLevel="0" collapsed="false">
      <c r="A14" s="10" t="s">
        <v>37</v>
      </c>
      <c r="B14" s="10" t="s">
        <v>25</v>
      </c>
      <c r="C14" s="11" t="n">
        <v>45949</v>
      </c>
      <c r="D14" s="11" t="n">
        <v>46082</v>
      </c>
      <c r="E14" s="10" t="s">
        <v>32</v>
      </c>
      <c r="F14" s="12" t="n">
        <v>14</v>
      </c>
      <c r="G14" s="5" t="n">
        <v>212.4</v>
      </c>
      <c r="H14" s="5" t="n">
        <v>0</v>
      </c>
      <c r="I14" s="13" t="n">
        <v>0</v>
      </c>
      <c r="J14" s="13" t="n">
        <v>0</v>
      </c>
      <c r="K14" s="14" t="s">
        <v>27</v>
      </c>
      <c r="L14" s="5" t="n">
        <f aca="false">ROUND(H14*$B$2,2)</f>
        <v>0</v>
      </c>
    </row>
    <row r="15" customFormat="false" ht="15" hidden="false" customHeight="false" outlineLevel="0" collapsed="false">
      <c r="A15" s="10" t="s">
        <v>39</v>
      </c>
      <c r="B15" s="10" t="s">
        <v>25</v>
      </c>
      <c r="C15" s="11" t="n">
        <v>45956</v>
      </c>
      <c r="D15" s="11" t="n">
        <v>46082</v>
      </c>
      <c r="E15" s="10" t="s">
        <v>26</v>
      </c>
      <c r="F15" s="12" t="n">
        <v>30</v>
      </c>
      <c r="G15" s="5" t="n">
        <v>1548.78</v>
      </c>
      <c r="H15" s="5" t="n">
        <v>0</v>
      </c>
      <c r="I15" s="13" t="n">
        <v>0</v>
      </c>
      <c r="J15" s="13" t="n">
        <v>0</v>
      </c>
      <c r="K15" s="14" t="s">
        <v>27</v>
      </c>
      <c r="L15" s="5" t="n">
        <f aca="false">ROUND(H15*$B$2,2)</f>
        <v>0</v>
      </c>
    </row>
    <row r="16" customFormat="false" ht="15" hidden="false" customHeight="false" outlineLevel="0" collapsed="false">
      <c r="A16" s="10" t="s">
        <v>40</v>
      </c>
      <c r="B16" s="10" t="s">
        <v>25</v>
      </c>
      <c r="C16" s="11" t="n">
        <v>45956</v>
      </c>
      <c r="D16" s="11" t="n">
        <v>46082</v>
      </c>
      <c r="E16" s="10" t="s">
        <v>32</v>
      </c>
      <c r="F16" s="12" t="n">
        <v>30</v>
      </c>
      <c r="G16" s="5" t="n">
        <v>225</v>
      </c>
      <c r="H16" s="5" t="n">
        <v>0</v>
      </c>
      <c r="I16" s="13" t="n">
        <v>0</v>
      </c>
      <c r="J16" s="13" t="n">
        <v>0</v>
      </c>
      <c r="K16" s="14" t="s">
        <v>27</v>
      </c>
      <c r="L16" s="5" t="n">
        <f aca="false">ROUND(H16*$B$2,2)</f>
        <v>0</v>
      </c>
    </row>
    <row r="17" customFormat="false" ht="15" hidden="false" customHeight="false" outlineLevel="0" collapsed="false">
      <c r="A17" s="10" t="s">
        <v>41</v>
      </c>
      <c r="B17" s="10" t="s">
        <v>25</v>
      </c>
      <c r="C17" s="11" t="n">
        <v>45963</v>
      </c>
      <c r="D17" s="11" t="n">
        <v>46082</v>
      </c>
      <c r="E17" s="10" t="s">
        <v>32</v>
      </c>
      <c r="F17" s="12" t="n">
        <v>31</v>
      </c>
      <c r="G17" s="5" t="n">
        <v>881.15</v>
      </c>
      <c r="H17" s="5" t="n">
        <v>0</v>
      </c>
      <c r="I17" s="13" t="n">
        <v>0</v>
      </c>
      <c r="J17" s="13" t="n">
        <v>0</v>
      </c>
      <c r="K17" s="14" t="s">
        <v>27</v>
      </c>
      <c r="L17" s="5" t="n">
        <f aca="false">ROUND(H17*$B$2,2)</f>
        <v>0</v>
      </c>
    </row>
    <row r="18" customFormat="false" ht="15" hidden="false" customHeight="false" outlineLevel="0" collapsed="false">
      <c r="A18" s="10" t="s">
        <v>42</v>
      </c>
      <c r="B18" s="10" t="s">
        <v>25</v>
      </c>
      <c r="C18" s="11" t="n">
        <v>45963</v>
      </c>
      <c r="D18" s="11" t="n">
        <v>46082</v>
      </c>
      <c r="E18" s="10" t="s">
        <v>26</v>
      </c>
      <c r="F18" s="12" t="n">
        <v>26</v>
      </c>
      <c r="G18" s="5" t="n">
        <v>1150.9</v>
      </c>
      <c r="H18" s="5" t="n">
        <v>0</v>
      </c>
      <c r="I18" s="13" t="n">
        <v>0</v>
      </c>
      <c r="J18" s="13" t="n">
        <v>0</v>
      </c>
      <c r="K18" s="14" t="s">
        <v>27</v>
      </c>
      <c r="L18" s="5" t="n">
        <f aca="false">ROUND(H18*$B$2,2)</f>
        <v>0</v>
      </c>
    </row>
    <row r="19" customFormat="false" ht="15" hidden="false" customHeight="false" outlineLevel="0" collapsed="false">
      <c r="A19" s="10" t="s">
        <v>140</v>
      </c>
      <c r="B19" s="10" t="s">
        <v>25</v>
      </c>
      <c r="C19" s="11" t="n">
        <v>45967</v>
      </c>
      <c r="D19" s="11" t="n">
        <v>46082</v>
      </c>
      <c r="E19" s="10" t="s">
        <v>26</v>
      </c>
      <c r="F19" s="12" t="n">
        <v>1</v>
      </c>
      <c r="G19" s="5" t="n">
        <v>102.8</v>
      </c>
      <c r="H19" s="5" t="n">
        <v>0</v>
      </c>
      <c r="I19" s="13" t="n">
        <v>0</v>
      </c>
      <c r="J19" s="13" t="n">
        <v>0</v>
      </c>
      <c r="K19" s="14" t="s">
        <v>27</v>
      </c>
      <c r="L19" s="5" t="n">
        <f aca="false">ROUND(H19*$B$2,2)</f>
        <v>0</v>
      </c>
    </row>
    <row r="20" customFormat="false" ht="15" hidden="false" customHeight="false" outlineLevel="0" collapsed="false">
      <c r="A20" s="10" t="s">
        <v>45</v>
      </c>
      <c r="B20" s="10" t="s">
        <v>25</v>
      </c>
      <c r="C20" s="11" t="n">
        <v>45970</v>
      </c>
      <c r="D20" s="11" t="n">
        <v>46082</v>
      </c>
      <c r="E20" s="10" t="s">
        <v>32</v>
      </c>
      <c r="F20" s="12" t="n">
        <v>80</v>
      </c>
      <c r="G20" s="5" t="n">
        <v>1476.2</v>
      </c>
      <c r="H20" s="5" t="n">
        <v>0</v>
      </c>
      <c r="I20" s="13" t="n">
        <v>0</v>
      </c>
      <c r="J20" s="13" t="n">
        <v>0</v>
      </c>
      <c r="K20" s="14" t="s">
        <v>27</v>
      </c>
      <c r="L20" s="5" t="n">
        <f aca="false">ROUND(H20*$B$2,2)</f>
        <v>0</v>
      </c>
    </row>
    <row r="21" customFormat="false" ht="15" hidden="false" customHeight="false" outlineLevel="0" collapsed="false">
      <c r="A21" s="10" t="s">
        <v>46</v>
      </c>
      <c r="B21" s="10" t="s">
        <v>25</v>
      </c>
      <c r="C21" s="11" t="n">
        <v>45970</v>
      </c>
      <c r="D21" s="11" t="n">
        <v>46082</v>
      </c>
      <c r="E21" s="10" t="s">
        <v>26</v>
      </c>
      <c r="F21" s="12" t="n">
        <v>62</v>
      </c>
      <c r="G21" s="5" t="n">
        <v>2288.6</v>
      </c>
      <c r="H21" s="5" t="n">
        <v>0</v>
      </c>
      <c r="I21" s="13" t="n">
        <v>0</v>
      </c>
      <c r="J21" s="13" t="n">
        <v>0</v>
      </c>
      <c r="K21" s="14" t="s">
        <v>27</v>
      </c>
      <c r="L21" s="5" t="n">
        <f aca="false">ROUND(H21*$B$2,2)</f>
        <v>0</v>
      </c>
    </row>
    <row r="22" customFormat="false" ht="15" hidden="false" customHeight="false" outlineLevel="0" collapsed="false">
      <c r="A22" s="10" t="s">
        <v>49</v>
      </c>
      <c r="B22" s="10" t="s">
        <v>25</v>
      </c>
      <c r="C22" s="11" t="n">
        <v>45977</v>
      </c>
      <c r="D22" s="11" t="n">
        <v>46082</v>
      </c>
      <c r="E22" s="10" t="s">
        <v>26</v>
      </c>
      <c r="F22" s="12" t="n">
        <v>96</v>
      </c>
      <c r="G22" s="5" t="n">
        <v>2974.85</v>
      </c>
      <c r="H22" s="5" t="n">
        <v>0</v>
      </c>
      <c r="I22" s="13" t="n">
        <v>0</v>
      </c>
      <c r="J22" s="13" t="n">
        <v>0</v>
      </c>
      <c r="K22" s="14" t="s">
        <v>27</v>
      </c>
      <c r="L22" s="5" t="n">
        <f aca="false">ROUND(H22*$B$2,2)</f>
        <v>0</v>
      </c>
    </row>
    <row r="23" customFormat="false" ht="15" hidden="false" customHeight="false" outlineLevel="0" collapsed="false">
      <c r="A23" s="10" t="s">
        <v>50</v>
      </c>
      <c r="B23" s="10" t="s">
        <v>25</v>
      </c>
      <c r="C23" s="11" t="n">
        <v>45977</v>
      </c>
      <c r="D23" s="11" t="n">
        <v>46082</v>
      </c>
      <c r="E23" s="10" t="s">
        <v>32</v>
      </c>
      <c r="F23" s="12" t="n">
        <v>103</v>
      </c>
      <c r="G23" s="5" t="n">
        <v>2444.75</v>
      </c>
      <c r="H23" s="5" t="n">
        <v>0</v>
      </c>
      <c r="I23" s="13" t="n">
        <v>0</v>
      </c>
      <c r="J23" s="13" t="n">
        <v>0</v>
      </c>
      <c r="K23" s="14" t="s">
        <v>27</v>
      </c>
      <c r="L23" s="5" t="n">
        <f aca="false">ROUND(H23*$B$2,2)</f>
        <v>0</v>
      </c>
    </row>
    <row r="24" customFormat="false" ht="15" hidden="false" customHeight="false" outlineLevel="0" collapsed="false">
      <c r="A24" s="10" t="s">
        <v>51</v>
      </c>
      <c r="B24" s="10" t="s">
        <v>25</v>
      </c>
      <c r="C24" s="11" t="n">
        <v>45984</v>
      </c>
      <c r="D24" s="11" t="n">
        <v>46082</v>
      </c>
      <c r="E24" s="10" t="s">
        <v>26</v>
      </c>
      <c r="F24" s="12" t="n">
        <v>112</v>
      </c>
      <c r="G24" s="5" t="n">
        <v>3112.85</v>
      </c>
      <c r="H24" s="5" t="n">
        <v>0</v>
      </c>
      <c r="I24" s="13" t="n">
        <v>0</v>
      </c>
      <c r="J24" s="13" t="n">
        <v>0</v>
      </c>
      <c r="K24" s="14" t="s">
        <v>27</v>
      </c>
      <c r="L24" s="5" t="n">
        <f aca="false">ROUND(H24*$B$2,2)</f>
        <v>0</v>
      </c>
    </row>
    <row r="25" customFormat="false" ht="15" hidden="false" customHeight="false" outlineLevel="0" collapsed="false">
      <c r="A25" s="10" t="s">
        <v>52</v>
      </c>
      <c r="B25" s="10" t="s">
        <v>25</v>
      </c>
      <c r="C25" s="11" t="n">
        <v>45984</v>
      </c>
      <c r="D25" s="11" t="n">
        <v>46082</v>
      </c>
      <c r="E25" s="10" t="s">
        <v>32</v>
      </c>
      <c r="F25" s="12" t="n">
        <v>110</v>
      </c>
      <c r="G25" s="5" t="n">
        <v>2179.3</v>
      </c>
      <c r="H25" s="5" t="n">
        <v>0</v>
      </c>
      <c r="I25" s="13" t="n">
        <v>0</v>
      </c>
      <c r="J25" s="13" t="n">
        <v>0</v>
      </c>
      <c r="K25" s="14" t="s">
        <v>27</v>
      </c>
      <c r="L25" s="5" t="n">
        <f aca="false">ROUND(H25*$B$2,2)</f>
        <v>0</v>
      </c>
    </row>
    <row r="26" customFormat="false" ht="15" hidden="false" customHeight="false" outlineLevel="0" collapsed="false">
      <c r="A26" s="10" t="s">
        <v>57</v>
      </c>
      <c r="B26" s="10" t="s">
        <v>25</v>
      </c>
      <c r="C26" s="11" t="n">
        <v>45991</v>
      </c>
      <c r="D26" s="11" t="n">
        <v>46030</v>
      </c>
      <c r="E26" s="10" t="s">
        <v>32</v>
      </c>
      <c r="F26" s="12" t="n">
        <v>93</v>
      </c>
      <c r="G26" s="5" t="n">
        <v>1808.25</v>
      </c>
      <c r="H26" s="5" t="n">
        <v>1898.25</v>
      </c>
      <c r="I26" s="13" t="n">
        <v>1</v>
      </c>
      <c r="J26" s="13" t="n">
        <v>1.05</v>
      </c>
      <c r="K26" s="16" t="s">
        <v>56</v>
      </c>
      <c r="L26" s="5" t="n">
        <f aca="false">ROUND(H26*$B$2,2)</f>
        <v>113.9</v>
      </c>
    </row>
    <row r="27" customFormat="false" ht="15" hidden="false" customHeight="false" outlineLevel="0" collapsed="false">
      <c r="A27" s="10" t="s">
        <v>58</v>
      </c>
      <c r="B27" s="10" t="s">
        <v>25</v>
      </c>
      <c r="C27" s="11" t="n">
        <v>45991</v>
      </c>
      <c r="D27" s="11" t="n">
        <v>46081</v>
      </c>
      <c r="E27" s="10" t="s">
        <v>26</v>
      </c>
      <c r="F27" s="12" t="n">
        <v>89</v>
      </c>
      <c r="G27" s="5" t="n">
        <v>2358.45</v>
      </c>
      <c r="H27" s="5" t="n">
        <v>2511.45</v>
      </c>
      <c r="I27" s="13" t="n">
        <v>1</v>
      </c>
      <c r="J27" s="13" t="n">
        <v>1.06</v>
      </c>
      <c r="K27" s="16" t="s">
        <v>56</v>
      </c>
      <c r="L27" s="5" t="n">
        <f aca="false">ROUND(H27*$B$2,2)</f>
        <v>150.69</v>
      </c>
    </row>
    <row r="28" customFormat="false" ht="15" hidden="false" customHeight="false" outlineLevel="0" collapsed="false">
      <c r="A28" s="10" t="s">
        <v>60</v>
      </c>
      <c r="B28" s="10" t="s">
        <v>25</v>
      </c>
      <c r="C28" s="11" t="n">
        <v>45998</v>
      </c>
      <c r="D28" s="11" t="n">
        <v>46022</v>
      </c>
      <c r="E28" s="10" t="s">
        <v>26</v>
      </c>
      <c r="F28" s="12" t="n">
        <v>8</v>
      </c>
      <c r="G28" s="5" t="n">
        <v>202.38</v>
      </c>
      <c r="H28" s="5" t="n">
        <v>239.94</v>
      </c>
      <c r="I28" s="13" t="n">
        <v>1</v>
      </c>
      <c r="J28" s="13" t="n">
        <v>1.19</v>
      </c>
      <c r="K28" s="16" t="s">
        <v>56</v>
      </c>
      <c r="L28" s="5" t="n">
        <f aca="false">ROUND(H28*$B$2,2)</f>
        <v>14.4</v>
      </c>
    </row>
    <row r="29" customFormat="false" ht="15" hidden="false" customHeight="false" outlineLevel="0" collapsed="false">
      <c r="A29" s="10" t="s">
        <v>61</v>
      </c>
      <c r="B29" s="10" t="s">
        <v>25</v>
      </c>
      <c r="C29" s="11" t="n">
        <v>45998</v>
      </c>
      <c r="D29" s="11" t="n">
        <v>46024</v>
      </c>
      <c r="E29" s="10" t="s">
        <v>32</v>
      </c>
      <c r="F29" s="12" t="n">
        <v>2</v>
      </c>
      <c r="G29" s="5" t="n">
        <v>26.66</v>
      </c>
      <c r="H29" s="5" t="n">
        <v>26.66</v>
      </c>
      <c r="I29" s="13" t="n">
        <v>1</v>
      </c>
      <c r="J29" s="13" t="n">
        <v>1</v>
      </c>
      <c r="K29" s="16" t="s">
        <v>56</v>
      </c>
      <c r="L29" s="5" t="n">
        <f aca="false">ROUND(H29*$B$2,2)</f>
        <v>1.6</v>
      </c>
    </row>
    <row r="30" customFormat="false" ht="15" hidden="false" customHeight="false" outlineLevel="0" collapsed="false">
      <c r="A30" s="10" t="s">
        <v>63</v>
      </c>
      <c r="B30" s="10" t="s">
        <v>25</v>
      </c>
      <c r="C30" s="11" t="n">
        <v>46012</v>
      </c>
      <c r="D30" s="11" t="n">
        <v>46018</v>
      </c>
      <c r="E30" s="10" t="s">
        <v>26</v>
      </c>
      <c r="F30" s="12" t="n">
        <v>2</v>
      </c>
      <c r="G30" s="5" t="n">
        <v>106.8</v>
      </c>
      <c r="H30" s="5" t="n">
        <v>0</v>
      </c>
      <c r="I30" s="13" t="n">
        <v>1</v>
      </c>
      <c r="J30" s="13" t="n">
        <v>0</v>
      </c>
      <c r="K30" s="14" t="s">
        <v>27</v>
      </c>
      <c r="L30" s="5" t="n">
        <f aca="false">ROUND(H30*$B$2,2)</f>
        <v>0</v>
      </c>
    </row>
    <row r="31" customFormat="false" ht="15" hidden="false" customHeight="false" outlineLevel="0" collapsed="false">
      <c r="A31" s="10" t="s">
        <v>65</v>
      </c>
      <c r="B31" s="10" t="s">
        <v>25</v>
      </c>
      <c r="C31" s="11" t="n">
        <v>46019</v>
      </c>
      <c r="D31" s="11" t="n">
        <v>46026</v>
      </c>
      <c r="E31" s="10" t="s">
        <v>26</v>
      </c>
      <c r="F31" s="12" t="n">
        <v>1</v>
      </c>
      <c r="G31" s="5" t="n">
        <v>11.75</v>
      </c>
      <c r="H31" s="5" t="n">
        <v>70.5</v>
      </c>
      <c r="I31" s="13" t="n">
        <v>1</v>
      </c>
      <c r="J31" s="13" t="n">
        <v>6</v>
      </c>
      <c r="K31" s="16" t="s">
        <v>56</v>
      </c>
      <c r="L31" s="5" t="n">
        <f aca="false">ROUND(H31*$B$2,2)</f>
        <v>4.23</v>
      </c>
    </row>
    <row r="32" customFormat="false" ht="15" hidden="false" customHeight="false" outlineLevel="0" collapsed="false">
      <c r="A32" s="10" t="s">
        <v>66</v>
      </c>
      <c r="B32" s="10" t="s">
        <v>25</v>
      </c>
      <c r="C32" s="11" t="n">
        <v>46019</v>
      </c>
      <c r="D32" s="11" t="n">
        <v>46026</v>
      </c>
      <c r="E32" s="10" t="s">
        <v>32</v>
      </c>
      <c r="F32" s="12" t="n">
        <v>2</v>
      </c>
      <c r="G32" s="5" t="n">
        <v>122.4</v>
      </c>
      <c r="H32" s="5" t="n">
        <v>122.4</v>
      </c>
      <c r="I32" s="13" t="n">
        <v>1</v>
      </c>
      <c r="J32" s="13" t="n">
        <v>1</v>
      </c>
      <c r="K32" s="16" t="s">
        <v>56</v>
      </c>
      <c r="L32" s="5" t="n">
        <f aca="false">ROUND(H32*$B$2,2)</f>
        <v>7.34</v>
      </c>
    </row>
    <row r="33" customFormat="false" ht="15" hidden="false" customHeight="false" outlineLevel="0" collapsed="false">
      <c r="A33" s="10" t="s">
        <v>141</v>
      </c>
      <c r="B33" s="10" t="s">
        <v>25</v>
      </c>
      <c r="C33" s="11" t="n">
        <v>46022</v>
      </c>
      <c r="D33" s="11" t="n">
        <v>46026</v>
      </c>
      <c r="E33" s="10" t="s">
        <v>26</v>
      </c>
      <c r="F33" s="12" t="n">
        <v>2</v>
      </c>
      <c r="G33" s="5" t="n">
        <v>63.6</v>
      </c>
      <c r="H33" s="5" t="n">
        <v>254.4</v>
      </c>
      <c r="I33" s="13" t="n">
        <v>1</v>
      </c>
      <c r="J33" s="13" t="n">
        <v>4</v>
      </c>
      <c r="K33" s="16" t="s">
        <v>56</v>
      </c>
      <c r="L33" s="5" t="n">
        <f aca="false">ROUND(H33*$B$2,2)</f>
        <v>15.26</v>
      </c>
    </row>
    <row r="34" customFormat="false" ht="15" hidden="false" customHeight="false" outlineLevel="0" collapsed="false">
      <c r="A34" s="10" t="s">
        <v>142</v>
      </c>
      <c r="B34" s="10" t="s">
        <v>25</v>
      </c>
      <c r="C34" s="11" t="n">
        <v>46026</v>
      </c>
      <c r="D34" s="11" t="n">
        <v>46030</v>
      </c>
      <c r="E34" s="10" t="s">
        <v>32</v>
      </c>
      <c r="F34" s="12" t="n">
        <v>4</v>
      </c>
      <c r="G34" s="5" t="n">
        <v>201.6</v>
      </c>
      <c r="H34" s="5" t="n">
        <v>124.8</v>
      </c>
      <c r="I34" s="13" t="n">
        <v>1</v>
      </c>
      <c r="J34" s="13" t="n">
        <v>0.62</v>
      </c>
      <c r="K34" s="15" t="s">
        <v>35</v>
      </c>
      <c r="L34" s="5" t="n">
        <f aca="false">ROUND(H34*$B$2,2)</f>
        <v>7.49</v>
      </c>
    </row>
    <row r="35" customFormat="false" ht="15" hidden="false" customHeight="false" outlineLevel="0" collapsed="false">
      <c r="A35" s="10" t="s">
        <v>67</v>
      </c>
      <c r="B35" s="10" t="s">
        <v>25</v>
      </c>
      <c r="C35" s="11" t="n">
        <v>46026</v>
      </c>
      <c r="D35" s="11" t="n">
        <v>46030</v>
      </c>
      <c r="E35" s="10" t="s">
        <v>26</v>
      </c>
      <c r="F35" s="12" t="n">
        <v>1</v>
      </c>
      <c r="G35" s="5" t="n">
        <v>102.8</v>
      </c>
      <c r="H35" s="5" t="n">
        <v>102.8</v>
      </c>
      <c r="I35" s="13" t="n">
        <v>1</v>
      </c>
      <c r="J35" s="13" t="n">
        <v>1</v>
      </c>
      <c r="K35" s="16" t="s">
        <v>56</v>
      </c>
      <c r="L35" s="5" t="n">
        <f aca="false">ROUND(H35*$B$2,2)</f>
        <v>6.17</v>
      </c>
    </row>
    <row r="36" customFormat="false" ht="15" hidden="false" customHeight="false" outlineLevel="0" collapsed="false">
      <c r="A36" s="10" t="s">
        <v>68</v>
      </c>
      <c r="B36" s="10" t="s">
        <v>25</v>
      </c>
      <c r="C36" s="11" t="n">
        <v>46033</v>
      </c>
      <c r="D36" s="11" t="n">
        <v>46041</v>
      </c>
      <c r="E36" s="10" t="s">
        <v>26</v>
      </c>
      <c r="F36" s="12" t="n">
        <v>2</v>
      </c>
      <c r="G36" s="5" t="n">
        <v>76.8</v>
      </c>
      <c r="H36" s="5" t="n">
        <v>76.8</v>
      </c>
      <c r="I36" s="13" t="n">
        <v>1</v>
      </c>
      <c r="J36" s="13" t="n">
        <v>1</v>
      </c>
      <c r="K36" s="16" t="s">
        <v>56</v>
      </c>
      <c r="L36" s="5" t="n">
        <f aca="false">ROUND(H36*$B$2,2)</f>
        <v>4.61</v>
      </c>
    </row>
    <row r="37" customFormat="false" ht="15" hidden="false" customHeight="false" outlineLevel="0" collapsed="false">
      <c r="A37" s="10" t="s">
        <v>143</v>
      </c>
      <c r="B37" s="10" t="s">
        <v>25</v>
      </c>
      <c r="C37" s="11" t="n">
        <v>46051</v>
      </c>
      <c r="D37" s="11" t="n">
        <v>46057</v>
      </c>
      <c r="E37" s="10" t="s">
        <v>26</v>
      </c>
      <c r="F37" s="12" t="n">
        <v>10</v>
      </c>
      <c r="G37" s="5" t="n">
        <v>117.5</v>
      </c>
      <c r="H37" s="5" t="n">
        <v>117.5</v>
      </c>
      <c r="I37" s="13" t="n">
        <v>1</v>
      </c>
      <c r="J37" s="13" t="n">
        <v>1</v>
      </c>
      <c r="K37" s="16" t="s">
        <v>56</v>
      </c>
      <c r="L37" s="5" t="n">
        <f aca="false">ROUND(H37*$B$2,2)</f>
        <v>7.05</v>
      </c>
    </row>
    <row r="38" customFormat="false" ht="15" hidden="false" customHeight="false" outlineLevel="0" collapsed="false">
      <c r="A38" s="10" t="s">
        <v>73</v>
      </c>
      <c r="B38" s="10" t="s">
        <v>25</v>
      </c>
      <c r="C38" s="11" t="n">
        <v>46054</v>
      </c>
      <c r="D38" s="11" t="n">
        <v>46058</v>
      </c>
      <c r="E38" s="10" t="s">
        <v>26</v>
      </c>
      <c r="F38" s="12" t="n">
        <v>8</v>
      </c>
      <c r="G38" s="5" t="n">
        <v>390.7</v>
      </c>
      <c r="H38" s="5" t="n">
        <v>390.7</v>
      </c>
      <c r="I38" s="13" t="n">
        <v>1</v>
      </c>
      <c r="J38" s="13" t="n">
        <v>1</v>
      </c>
      <c r="K38" s="16" t="s">
        <v>56</v>
      </c>
      <c r="L38" s="5" t="n">
        <f aca="false">ROUND(H38*$B$2,2)</f>
        <v>23.44</v>
      </c>
    </row>
    <row r="39" customFormat="false" ht="15" hidden="false" customHeight="false" outlineLevel="0" collapsed="false">
      <c r="A39" s="10" t="s">
        <v>75</v>
      </c>
      <c r="B39" s="10" t="s">
        <v>25</v>
      </c>
      <c r="C39" s="11" t="n">
        <v>46061</v>
      </c>
      <c r="D39" s="11" t="n">
        <v>46084</v>
      </c>
      <c r="E39" s="10" t="s">
        <v>26</v>
      </c>
      <c r="F39" s="12" t="n">
        <v>40</v>
      </c>
      <c r="G39" s="5" t="n">
        <v>1465.8</v>
      </c>
      <c r="H39" s="5" t="n">
        <v>135</v>
      </c>
      <c r="I39" s="13" t="n">
        <v>1</v>
      </c>
      <c r="J39" s="13" t="n">
        <v>0.09</v>
      </c>
      <c r="K39" s="15" t="s">
        <v>35</v>
      </c>
      <c r="L39" s="5" t="n">
        <f aca="false">ROUND(H39*$B$2,2)</f>
        <v>8.1</v>
      </c>
    </row>
    <row r="40" customFormat="false" ht="15" hidden="false" customHeight="false" outlineLevel="0" collapsed="false">
      <c r="A40" s="10" t="s">
        <v>79</v>
      </c>
      <c r="B40" s="10" t="s">
        <v>25</v>
      </c>
      <c r="C40" s="11" t="n">
        <v>46075</v>
      </c>
      <c r="D40" s="11" t="n">
        <v>46087</v>
      </c>
      <c r="E40" s="10" t="s">
        <v>26</v>
      </c>
      <c r="F40" s="12" t="n">
        <v>2</v>
      </c>
      <c r="G40" s="5" t="n">
        <v>122.4</v>
      </c>
      <c r="H40" s="5" t="n">
        <v>61.2</v>
      </c>
      <c r="I40" s="13" t="n">
        <v>1</v>
      </c>
      <c r="J40" s="13" t="n">
        <v>0.5</v>
      </c>
      <c r="K40" s="15" t="s">
        <v>35</v>
      </c>
      <c r="L40" s="5" t="n">
        <f aca="false">ROUND(H40*$B$2,2)</f>
        <v>3.67</v>
      </c>
    </row>
    <row r="41" customFormat="false" ht="15" hidden="false" customHeight="false" outlineLevel="0" collapsed="false">
      <c r="A41" s="10" t="s">
        <v>144</v>
      </c>
      <c r="B41" s="10" t="s">
        <v>25</v>
      </c>
      <c r="C41" s="11" t="n">
        <v>46079</v>
      </c>
      <c r="D41" s="11" t="n">
        <v>46110</v>
      </c>
      <c r="E41" s="10" t="s">
        <v>32</v>
      </c>
      <c r="F41" s="12" t="n">
        <v>10</v>
      </c>
      <c r="G41" s="5" t="n">
        <v>612</v>
      </c>
      <c r="H41" s="5" t="n">
        <v>612</v>
      </c>
      <c r="I41" s="13" t="n">
        <v>1</v>
      </c>
      <c r="J41" s="13" t="n">
        <v>1</v>
      </c>
      <c r="K41" s="16" t="s">
        <v>56</v>
      </c>
      <c r="L41" s="5" t="n">
        <f aca="false">ROUND(H41*$B$2,2)</f>
        <v>36.72</v>
      </c>
    </row>
    <row r="42" customFormat="false" ht="15" hidden="false" customHeight="false" outlineLevel="0" collapsed="false">
      <c r="A42" s="10" t="s">
        <v>81</v>
      </c>
      <c r="B42" s="10" t="s">
        <v>25</v>
      </c>
      <c r="C42" s="11" t="n">
        <v>46079</v>
      </c>
      <c r="D42" s="11" t="n">
        <v>46103</v>
      </c>
      <c r="E42" s="10" t="s">
        <v>26</v>
      </c>
      <c r="F42" s="12" t="n">
        <v>6</v>
      </c>
      <c r="G42" s="5" t="n">
        <v>367.2</v>
      </c>
      <c r="H42" s="5" t="n">
        <v>367.2</v>
      </c>
      <c r="I42" s="13" t="n">
        <v>1</v>
      </c>
      <c r="J42" s="13" t="n">
        <v>1</v>
      </c>
      <c r="K42" s="16" t="s">
        <v>56</v>
      </c>
      <c r="L42" s="5" t="n">
        <f aca="false">ROUND(H42*$B$2,2)</f>
        <v>22.03</v>
      </c>
    </row>
    <row r="43" customFormat="false" ht="15" hidden="false" customHeight="false" outlineLevel="0" collapsed="false">
      <c r="A43" s="10" t="s">
        <v>82</v>
      </c>
      <c r="B43" s="10" t="s">
        <v>25</v>
      </c>
      <c r="C43" s="11" t="n">
        <v>46082</v>
      </c>
      <c r="D43" s="11" t="n">
        <v>46110</v>
      </c>
      <c r="E43" s="10" t="s">
        <v>32</v>
      </c>
      <c r="F43" s="12" t="n">
        <v>4</v>
      </c>
      <c r="G43" s="5" t="n">
        <v>244.8</v>
      </c>
      <c r="H43" s="5" t="n">
        <v>244.8</v>
      </c>
      <c r="I43" s="13" t="n">
        <v>1</v>
      </c>
      <c r="J43" s="13" t="n">
        <v>1</v>
      </c>
      <c r="K43" s="16" t="s">
        <v>56</v>
      </c>
      <c r="L43" s="5" t="n">
        <f aca="false">ROUND(H43*$B$2,2)</f>
        <v>14.69</v>
      </c>
    </row>
    <row r="44" customFormat="false" ht="15" hidden="false" customHeight="false" outlineLevel="0" collapsed="false">
      <c r="A44" s="10" t="s">
        <v>83</v>
      </c>
      <c r="B44" s="10" t="s">
        <v>25</v>
      </c>
      <c r="C44" s="11" t="n">
        <v>46082</v>
      </c>
      <c r="D44" s="11" t="n">
        <v>46103</v>
      </c>
      <c r="E44" s="10" t="s">
        <v>26</v>
      </c>
      <c r="F44" s="12" t="n">
        <v>4</v>
      </c>
      <c r="G44" s="5" t="n">
        <v>244.8</v>
      </c>
      <c r="H44" s="5" t="n">
        <v>244.8</v>
      </c>
      <c r="I44" s="13" t="n">
        <v>1</v>
      </c>
      <c r="J44" s="13" t="n">
        <v>1</v>
      </c>
      <c r="K44" s="16" t="s">
        <v>56</v>
      </c>
      <c r="L44" s="5" t="n">
        <f aca="false">ROUND(H44*$B$2,2)</f>
        <v>14.69</v>
      </c>
    </row>
    <row r="45" customFormat="false" ht="15" hidden="false" customHeight="false" outlineLevel="0" collapsed="false">
      <c r="A45" s="10" t="s">
        <v>84</v>
      </c>
      <c r="B45" s="10" t="s">
        <v>25</v>
      </c>
      <c r="C45" s="11" t="n">
        <v>46089</v>
      </c>
      <c r="D45" s="11" t="n">
        <v>46093</v>
      </c>
      <c r="E45" s="10" t="s">
        <v>32</v>
      </c>
      <c r="F45" s="12" t="n">
        <v>2</v>
      </c>
      <c r="G45" s="5" t="n">
        <v>122.4</v>
      </c>
      <c r="H45" s="5" t="n">
        <v>122.4</v>
      </c>
      <c r="I45" s="13" t="n">
        <v>1</v>
      </c>
      <c r="J45" s="13" t="n">
        <v>1</v>
      </c>
      <c r="K45" s="16" t="s">
        <v>56</v>
      </c>
      <c r="L45" s="5" t="n">
        <f aca="false">ROUND(H45*$B$2,2)</f>
        <v>7.34</v>
      </c>
    </row>
    <row r="46" customFormat="false" ht="15" hidden="false" customHeight="false" outlineLevel="0" collapsed="false">
      <c r="A46" s="10" t="s">
        <v>145</v>
      </c>
      <c r="B46" s="10" t="s">
        <v>25</v>
      </c>
      <c r="C46" s="11" t="n">
        <v>46096</v>
      </c>
      <c r="D46" s="11" t="n">
        <v>46111</v>
      </c>
      <c r="E46" s="10" t="s">
        <v>26</v>
      </c>
      <c r="F46" s="12" t="n">
        <v>1</v>
      </c>
      <c r="G46" s="5" t="n">
        <v>102.8</v>
      </c>
      <c r="H46" s="5" t="n">
        <v>102.8</v>
      </c>
      <c r="I46" s="13" t="n">
        <v>1</v>
      </c>
      <c r="J46" s="13" t="n">
        <v>1</v>
      </c>
      <c r="K46" s="16" t="s">
        <v>56</v>
      </c>
      <c r="L46" s="5" t="n">
        <f aca="false">ROUND(H46*$B$2,2)</f>
        <v>6.17</v>
      </c>
    </row>
    <row r="47" customFormat="false" ht="15" hidden="false" customHeight="false" outlineLevel="0" collapsed="false">
      <c r="A47" s="10" t="s">
        <v>87</v>
      </c>
      <c r="B47" s="10" t="s">
        <v>25</v>
      </c>
      <c r="C47" s="11" t="n">
        <v>46103</v>
      </c>
      <c r="D47" s="11" t="n">
        <v>46115</v>
      </c>
      <c r="E47" s="10" t="s">
        <v>32</v>
      </c>
      <c r="F47" s="12" t="n">
        <v>12</v>
      </c>
      <c r="G47" s="5" t="n">
        <v>412.2</v>
      </c>
      <c r="H47" s="5" t="n">
        <v>412.2</v>
      </c>
      <c r="I47" s="13" t="n">
        <v>1</v>
      </c>
      <c r="J47" s="13" t="n">
        <v>1</v>
      </c>
      <c r="K47" s="16" t="s">
        <v>56</v>
      </c>
      <c r="L47" s="5" t="n">
        <f aca="false">ROUND(H47*$B$2,2)</f>
        <v>24.73</v>
      </c>
    </row>
    <row r="48" customFormat="false" ht="15" hidden="false" customHeight="false" outlineLevel="0" collapsed="false">
      <c r="A48" s="10" t="s">
        <v>146</v>
      </c>
      <c r="B48" s="10" t="s">
        <v>25</v>
      </c>
      <c r="C48" s="11" t="n">
        <v>46103</v>
      </c>
      <c r="D48" s="11" t="n">
        <v>46118</v>
      </c>
      <c r="E48" s="10" t="s">
        <v>26</v>
      </c>
      <c r="F48" s="12" t="n">
        <v>10</v>
      </c>
      <c r="G48" s="5" t="n">
        <v>612</v>
      </c>
      <c r="H48" s="5" t="n">
        <v>612</v>
      </c>
      <c r="I48" s="13" t="n">
        <v>1</v>
      </c>
      <c r="J48" s="13" t="n">
        <v>1</v>
      </c>
      <c r="K48" s="16" t="s">
        <v>56</v>
      </c>
      <c r="L48" s="5" t="n">
        <f aca="false">ROUND(H48*$B$2,2)</f>
        <v>36.72</v>
      </c>
    </row>
    <row r="49" customFormat="false" ht="15" hidden="false" customHeight="false" outlineLevel="0" collapsed="false">
      <c r="A49" s="10" t="s">
        <v>89</v>
      </c>
      <c r="B49" s="10" t="s">
        <v>25</v>
      </c>
      <c r="C49" s="11" t="n">
        <v>46110</v>
      </c>
      <c r="D49" s="11" t="n">
        <v>46148</v>
      </c>
      <c r="E49" s="10" t="s">
        <v>32</v>
      </c>
      <c r="F49" s="12" t="n">
        <v>10</v>
      </c>
      <c r="G49" s="5" t="n">
        <v>612</v>
      </c>
      <c r="H49" s="5" t="n">
        <v>612</v>
      </c>
      <c r="I49" s="13" t="n">
        <v>1</v>
      </c>
      <c r="J49" s="13" t="n">
        <v>1</v>
      </c>
      <c r="K49" s="16" t="s">
        <v>56</v>
      </c>
      <c r="L49" s="5" t="n">
        <f aca="false">ROUND(H49*$B$2,2)</f>
        <v>36.72</v>
      </c>
    </row>
    <row r="50" customFormat="false" ht="15" hidden="false" customHeight="false" outlineLevel="0" collapsed="false">
      <c r="A50" s="10" t="s">
        <v>93</v>
      </c>
      <c r="B50" s="10" t="s">
        <v>25</v>
      </c>
      <c r="C50" s="11" t="n">
        <v>46124</v>
      </c>
      <c r="D50" s="11" t="n">
        <v>46140</v>
      </c>
      <c r="E50" s="10" t="s">
        <v>32</v>
      </c>
      <c r="F50" s="12" t="n">
        <v>6</v>
      </c>
      <c r="G50" s="5" t="n">
        <v>367.2</v>
      </c>
      <c r="H50" s="5" t="n">
        <v>489.6</v>
      </c>
      <c r="I50" s="13" t="n">
        <v>1</v>
      </c>
      <c r="J50" s="13" t="n">
        <v>1.33</v>
      </c>
      <c r="K50" s="16" t="s">
        <v>56</v>
      </c>
      <c r="L50" s="5" t="n">
        <f aca="false">ROUND(H50*$B$2,2)</f>
        <v>29.38</v>
      </c>
    </row>
    <row r="51" customFormat="false" ht="15" hidden="false" customHeight="false" outlineLevel="0" collapsed="false">
      <c r="A51" s="10" t="s">
        <v>94</v>
      </c>
      <c r="B51" s="10" t="s">
        <v>25</v>
      </c>
      <c r="C51" s="11" t="n">
        <v>46124</v>
      </c>
      <c r="D51" s="11" t="n">
        <v>46132</v>
      </c>
      <c r="E51" s="10" t="s">
        <v>26</v>
      </c>
      <c r="F51" s="12" t="n">
        <v>15</v>
      </c>
      <c r="G51" s="5" t="n">
        <v>959.6</v>
      </c>
      <c r="H51" s="5" t="n">
        <v>959.6</v>
      </c>
      <c r="I51" s="13" t="n">
        <v>1</v>
      </c>
      <c r="J51" s="13" t="n">
        <v>1</v>
      </c>
      <c r="K51" s="16" t="s">
        <v>56</v>
      </c>
      <c r="L51" s="5" t="n">
        <f aca="false">ROUND(H51*$B$2,2)</f>
        <v>57.58</v>
      </c>
    </row>
    <row r="52" customFormat="false" ht="15" hidden="false" customHeight="false" outlineLevel="0" collapsed="false">
      <c r="A52" s="10" t="s">
        <v>97</v>
      </c>
      <c r="B52" s="10" t="s">
        <v>25</v>
      </c>
      <c r="C52" s="11" t="n">
        <v>46138</v>
      </c>
      <c r="D52" s="11" t="n">
        <v>46143</v>
      </c>
      <c r="E52" s="10" t="s">
        <v>32</v>
      </c>
      <c r="F52" s="12" t="n">
        <v>4</v>
      </c>
      <c r="G52" s="5" t="n">
        <v>244.8</v>
      </c>
      <c r="H52" s="5" t="n">
        <v>244.8</v>
      </c>
      <c r="I52" s="13" t="n">
        <v>1</v>
      </c>
      <c r="J52" s="13" t="n">
        <v>1</v>
      </c>
      <c r="K52" s="16" t="s">
        <v>56</v>
      </c>
      <c r="L52" s="5" t="n">
        <f aca="false">ROUND(H52*$B$2,2)</f>
        <v>14.69</v>
      </c>
    </row>
    <row r="53" customFormat="false" ht="15" hidden="false" customHeight="false" outlineLevel="0" collapsed="false">
      <c r="A53" s="10" t="s">
        <v>98</v>
      </c>
      <c r="B53" s="10" t="s">
        <v>25</v>
      </c>
      <c r="C53" s="11" t="n">
        <v>46138</v>
      </c>
      <c r="D53" s="11" t="n">
        <v>46182</v>
      </c>
      <c r="E53" s="10" t="s">
        <v>26</v>
      </c>
      <c r="F53" s="12" t="n">
        <v>10</v>
      </c>
      <c r="G53" s="5" t="n">
        <v>612</v>
      </c>
      <c r="H53" s="5" t="n">
        <v>734.4</v>
      </c>
      <c r="I53" s="13" t="n">
        <v>1</v>
      </c>
      <c r="J53" s="13" t="n">
        <v>1.2</v>
      </c>
      <c r="K53" s="16" t="s">
        <v>56</v>
      </c>
      <c r="L53" s="5" t="n">
        <f aca="false">ROUND(H53*$B$2,2)</f>
        <v>44.06</v>
      </c>
    </row>
    <row r="54" customFormat="false" ht="15" hidden="false" customHeight="false" outlineLevel="0" collapsed="false">
      <c r="A54" s="10" t="s">
        <v>99</v>
      </c>
      <c r="B54" s="10" t="s">
        <v>25</v>
      </c>
      <c r="C54" s="11" t="n">
        <v>46145</v>
      </c>
      <c r="D54" s="11" t="n">
        <v>46150</v>
      </c>
      <c r="E54" s="10" t="s">
        <v>32</v>
      </c>
      <c r="F54" s="12" t="n">
        <v>16</v>
      </c>
      <c r="G54" s="5" t="n">
        <v>979.2</v>
      </c>
      <c r="H54" s="5" t="n">
        <v>979.2</v>
      </c>
      <c r="I54" s="13" t="n">
        <v>1</v>
      </c>
      <c r="J54" s="13" t="n">
        <v>1</v>
      </c>
      <c r="K54" s="16" t="s">
        <v>56</v>
      </c>
      <c r="L54" s="5" t="n">
        <f aca="false">ROUND(H54*$B$2,2)</f>
        <v>58.75</v>
      </c>
    </row>
    <row r="55" customFormat="false" ht="15" hidden="false" customHeight="false" outlineLevel="0" collapsed="false">
      <c r="A55" s="10" t="s">
        <v>101</v>
      </c>
      <c r="B55" s="10" t="s">
        <v>25</v>
      </c>
      <c r="C55" s="11" t="n">
        <v>46152</v>
      </c>
      <c r="D55" s="11" t="n">
        <v>46162</v>
      </c>
      <c r="E55" s="10" t="s">
        <v>32</v>
      </c>
      <c r="F55" s="12" t="n">
        <v>4</v>
      </c>
      <c r="G55" s="5" t="n">
        <v>244.8</v>
      </c>
      <c r="H55" s="5" t="n">
        <v>244.8</v>
      </c>
      <c r="I55" s="13" t="n">
        <v>1</v>
      </c>
      <c r="J55" s="13" t="n">
        <v>1</v>
      </c>
      <c r="K55" s="16" t="s">
        <v>56</v>
      </c>
      <c r="L55" s="5" t="n">
        <f aca="false">ROUND(H55*$B$2,2)</f>
        <v>14.69</v>
      </c>
    </row>
    <row r="56" customFormat="false" ht="15" hidden="false" customHeight="false" outlineLevel="0" collapsed="false">
      <c r="A56" s="10" t="s">
        <v>147</v>
      </c>
      <c r="B56" s="10" t="s">
        <v>25</v>
      </c>
      <c r="C56" s="11" t="n">
        <v>46152</v>
      </c>
      <c r="D56" s="11" t="n">
        <v>46245</v>
      </c>
      <c r="E56" s="10" t="s">
        <v>116</v>
      </c>
      <c r="F56" s="12" t="n">
        <v>2</v>
      </c>
      <c r="G56" s="5" t="n">
        <v>124.8</v>
      </c>
      <c r="H56" s="5" t="n">
        <v>0</v>
      </c>
      <c r="I56" s="13" t="n">
        <v>1</v>
      </c>
      <c r="J56" s="13" t="n">
        <v>0</v>
      </c>
      <c r="K56" s="14" t="s">
        <v>27</v>
      </c>
      <c r="L56" s="5" t="n">
        <f aca="false">ROUND(H56*$B$2,2)</f>
        <v>0</v>
      </c>
    </row>
    <row r="57" customFormat="false" ht="15" hidden="false" customHeight="false" outlineLevel="0" collapsed="false">
      <c r="A57" s="10" t="s">
        <v>148</v>
      </c>
      <c r="B57" s="10" t="s">
        <v>25</v>
      </c>
      <c r="C57" s="11" t="n">
        <v>46156</v>
      </c>
      <c r="D57" s="11" t="n">
        <v>46174</v>
      </c>
      <c r="E57" s="10" t="s">
        <v>32</v>
      </c>
      <c r="F57" s="12" t="n">
        <v>2</v>
      </c>
      <c r="G57" s="5" t="n">
        <v>57.6</v>
      </c>
      <c r="H57" s="5" t="n">
        <v>0</v>
      </c>
      <c r="I57" s="13" t="n">
        <v>1</v>
      </c>
      <c r="J57" s="13" t="n">
        <v>0</v>
      </c>
      <c r="K57" s="18" t="s">
        <v>149</v>
      </c>
      <c r="L57" s="5" t="n">
        <f aca="false">ROUND(H57*$B$2,2)</f>
        <v>0</v>
      </c>
    </row>
    <row r="58" customFormat="false" ht="15" hidden="false" customHeight="false" outlineLevel="0" collapsed="false">
      <c r="A58" s="10" t="s">
        <v>106</v>
      </c>
      <c r="B58" s="10" t="s">
        <v>25</v>
      </c>
      <c r="C58" s="11" t="n">
        <v>46159</v>
      </c>
      <c r="D58" s="11" t="n">
        <v>46184</v>
      </c>
      <c r="E58" s="10" t="s">
        <v>32</v>
      </c>
      <c r="F58" s="12" t="n">
        <v>2</v>
      </c>
      <c r="G58" s="5" t="n">
        <v>122.4</v>
      </c>
      <c r="H58" s="5" t="n">
        <v>122.4</v>
      </c>
      <c r="I58" s="13" t="n">
        <v>1</v>
      </c>
      <c r="J58" s="13" t="n">
        <v>1</v>
      </c>
      <c r="K58" s="16" t="s">
        <v>56</v>
      </c>
      <c r="L58" s="5" t="n">
        <f aca="false">ROUND(H58*$B$2,2)</f>
        <v>7.34</v>
      </c>
    </row>
    <row r="59" customFormat="false" ht="15" hidden="false" customHeight="false" outlineLevel="0" collapsed="false">
      <c r="A59" s="10" t="s">
        <v>108</v>
      </c>
      <c r="B59" s="10" t="s">
        <v>25</v>
      </c>
      <c r="C59" s="11" t="n">
        <v>46166</v>
      </c>
      <c r="D59" s="11" t="n">
        <v>46191</v>
      </c>
      <c r="E59" s="10" t="s">
        <v>26</v>
      </c>
      <c r="F59" s="12" t="n">
        <v>6</v>
      </c>
      <c r="G59" s="5" t="n">
        <v>367.2</v>
      </c>
      <c r="H59" s="5" t="n">
        <v>367.2</v>
      </c>
      <c r="I59" s="13" t="n">
        <v>1</v>
      </c>
      <c r="J59" s="13" t="n">
        <v>1</v>
      </c>
      <c r="K59" s="16" t="s">
        <v>56</v>
      </c>
      <c r="L59" s="5" t="n">
        <f aca="false">ROUND(H59*$B$2,2)</f>
        <v>22.03</v>
      </c>
    </row>
    <row r="60" customFormat="false" ht="15" hidden="false" customHeight="false" outlineLevel="0" collapsed="false">
      <c r="A60" s="10" t="s">
        <v>109</v>
      </c>
      <c r="B60" s="10" t="s">
        <v>25</v>
      </c>
      <c r="C60" s="11" t="n">
        <v>46166</v>
      </c>
      <c r="D60" s="11" t="n">
        <v>46176</v>
      </c>
      <c r="E60" s="10" t="s">
        <v>32</v>
      </c>
      <c r="F60" s="12" t="n">
        <v>10</v>
      </c>
      <c r="G60" s="5" t="n">
        <v>612</v>
      </c>
      <c r="H60" s="5" t="n">
        <v>612</v>
      </c>
      <c r="I60" s="13" t="n">
        <v>1</v>
      </c>
      <c r="J60" s="13" t="n">
        <v>1</v>
      </c>
      <c r="K60" s="16" t="s">
        <v>56</v>
      </c>
      <c r="L60" s="5" t="n">
        <f aca="false">ROUND(H60*$B$2,2)</f>
        <v>36.72</v>
      </c>
    </row>
    <row r="61" customFormat="false" ht="15" hidden="false" customHeight="false" outlineLevel="0" collapsed="false">
      <c r="A61" s="10" t="s">
        <v>113</v>
      </c>
      <c r="B61" s="10" t="s">
        <v>25</v>
      </c>
      <c r="C61" s="11" t="n">
        <v>46180</v>
      </c>
      <c r="D61" s="11" t="n">
        <v>46217</v>
      </c>
      <c r="E61" s="10" t="s">
        <v>26</v>
      </c>
      <c r="F61" s="12" t="n">
        <v>2</v>
      </c>
      <c r="G61" s="5" t="n">
        <v>122.4</v>
      </c>
      <c r="H61" s="5" t="n">
        <v>0</v>
      </c>
      <c r="I61" s="13" t="n">
        <v>1</v>
      </c>
      <c r="J61" s="13" t="n">
        <v>0</v>
      </c>
      <c r="K61" s="14" t="s">
        <v>27</v>
      </c>
      <c r="L61" s="5" t="n">
        <f aca="false">ROUND(H61*$B$2,2)</f>
        <v>0</v>
      </c>
    </row>
    <row r="62" customFormat="false" ht="15" hidden="false" customHeight="false" outlineLevel="0" collapsed="false">
      <c r="A62" s="10" t="s">
        <v>114</v>
      </c>
      <c r="B62" s="10" t="s">
        <v>25</v>
      </c>
      <c r="C62" s="11" t="n">
        <v>46187</v>
      </c>
      <c r="D62" s="11" t="n">
        <v>46191</v>
      </c>
      <c r="E62" s="10" t="s">
        <v>32</v>
      </c>
      <c r="F62" s="12" t="n">
        <v>8</v>
      </c>
      <c r="G62" s="5" t="n">
        <v>167.4</v>
      </c>
      <c r="H62" s="5" t="n">
        <v>212.4</v>
      </c>
      <c r="I62" s="13" t="n">
        <v>1</v>
      </c>
      <c r="J62" s="13" t="n">
        <v>1.27</v>
      </c>
      <c r="K62" s="16" t="s">
        <v>56</v>
      </c>
      <c r="L62" s="5" t="n">
        <f aca="false">ROUND(H62*$B$2,2)</f>
        <v>12.74</v>
      </c>
    </row>
    <row r="63" customFormat="false" ht="15" hidden="false" customHeight="false" outlineLevel="0" collapsed="false">
      <c r="A63" s="10" t="s">
        <v>115</v>
      </c>
      <c r="B63" s="10" t="s">
        <v>25</v>
      </c>
      <c r="C63" s="11" t="n">
        <v>46187</v>
      </c>
      <c r="D63" s="11" t="n">
        <v>46193</v>
      </c>
      <c r="E63" s="10" t="s">
        <v>116</v>
      </c>
      <c r="F63" s="12" t="n">
        <v>1</v>
      </c>
      <c r="G63" s="5" t="n">
        <v>102.8</v>
      </c>
      <c r="H63" s="5" t="n">
        <v>102.8</v>
      </c>
      <c r="I63" s="13" t="n">
        <v>1</v>
      </c>
      <c r="J63" s="13" t="n">
        <v>1</v>
      </c>
      <c r="K63" s="16" t="s">
        <v>56</v>
      </c>
      <c r="L63" s="5" t="n">
        <f aca="false">ROUND(H63*$B$2,2)</f>
        <v>6.17</v>
      </c>
    </row>
    <row r="64" customFormat="false" ht="15" hidden="false" customHeight="false" outlineLevel="0" collapsed="false">
      <c r="A64" s="10" t="s">
        <v>117</v>
      </c>
      <c r="B64" s="10" t="s">
        <v>25</v>
      </c>
      <c r="C64" s="11" t="n">
        <v>46187</v>
      </c>
      <c r="D64" s="11" t="n">
        <v>46190</v>
      </c>
      <c r="E64" s="10" t="s">
        <v>26</v>
      </c>
      <c r="F64" s="12" t="n">
        <v>32</v>
      </c>
      <c r="G64" s="5" t="n">
        <v>991.8</v>
      </c>
      <c r="H64" s="5" t="n">
        <v>991.8</v>
      </c>
      <c r="I64" s="13" t="n">
        <v>1</v>
      </c>
      <c r="J64" s="13" t="n">
        <v>1</v>
      </c>
      <c r="K64" s="16" t="s">
        <v>56</v>
      </c>
      <c r="L64" s="5" t="n">
        <f aca="false">ROUND(H64*$B$2,2)</f>
        <v>59.51</v>
      </c>
    </row>
    <row r="65" customFormat="false" ht="15" hidden="false" customHeight="false" outlineLevel="0" collapsed="false">
      <c r="A65" s="10" t="s">
        <v>150</v>
      </c>
      <c r="B65" s="10" t="s">
        <v>25</v>
      </c>
      <c r="C65" s="11" t="n">
        <v>46194</v>
      </c>
      <c r="D65" s="11" t="n">
        <v>46197</v>
      </c>
      <c r="E65" s="10" t="s">
        <v>116</v>
      </c>
      <c r="F65" s="12" t="n">
        <v>2</v>
      </c>
      <c r="G65" s="5" t="n">
        <v>76.8</v>
      </c>
      <c r="H65" s="5" t="n">
        <v>76.8</v>
      </c>
      <c r="I65" s="13" t="n">
        <v>1</v>
      </c>
      <c r="J65" s="13" t="n">
        <v>1</v>
      </c>
      <c r="K65" s="16" t="s">
        <v>56</v>
      </c>
      <c r="L65" s="5" t="n">
        <f aca="false">ROUND(H65*$B$2,2)</f>
        <v>4.61</v>
      </c>
    </row>
    <row r="66" customFormat="false" ht="15" hidden="false" customHeight="false" outlineLevel="0" collapsed="false">
      <c r="A66" s="10" t="s">
        <v>119</v>
      </c>
      <c r="B66" s="10" t="s">
        <v>25</v>
      </c>
      <c r="C66" s="11" t="n">
        <v>46194</v>
      </c>
      <c r="D66" s="11" t="n">
        <v>46197</v>
      </c>
      <c r="E66" s="10" t="s">
        <v>32</v>
      </c>
      <c r="F66" s="12" t="n">
        <v>4</v>
      </c>
      <c r="G66" s="5" t="n">
        <v>244.8</v>
      </c>
      <c r="H66" s="5" t="n">
        <v>244.8</v>
      </c>
      <c r="I66" s="13" t="n">
        <v>1</v>
      </c>
      <c r="J66" s="13" t="n">
        <v>1</v>
      </c>
      <c r="K66" s="16" t="s">
        <v>56</v>
      </c>
      <c r="L66" s="5" t="n">
        <f aca="false">ROUND(H66*$B$2,2)</f>
        <v>14.69</v>
      </c>
    </row>
    <row r="67" customFormat="false" ht="15" hidden="false" customHeight="false" outlineLevel="0" collapsed="false">
      <c r="A67" s="10" t="s">
        <v>120</v>
      </c>
      <c r="B67" s="10" t="s">
        <v>25</v>
      </c>
      <c r="C67" s="11" t="n">
        <v>46201</v>
      </c>
      <c r="D67" s="11" t="n">
        <v>46204</v>
      </c>
      <c r="E67" s="10" t="s">
        <v>32</v>
      </c>
      <c r="F67" s="12" t="n">
        <v>2</v>
      </c>
      <c r="G67" s="5" t="n">
        <v>122.4</v>
      </c>
      <c r="H67" s="5" t="n">
        <v>122.4</v>
      </c>
      <c r="I67" s="13" t="n">
        <v>1</v>
      </c>
      <c r="J67" s="13" t="n">
        <v>1</v>
      </c>
      <c r="K67" s="16" t="s">
        <v>56</v>
      </c>
      <c r="L67" s="5" t="n">
        <f aca="false">ROUND(H67*$B$2,2)</f>
        <v>7.34</v>
      </c>
    </row>
    <row r="68" customFormat="false" ht="15" hidden="false" customHeight="false" outlineLevel="0" collapsed="false">
      <c r="A68" s="10" t="s">
        <v>123</v>
      </c>
      <c r="B68" s="10" t="s">
        <v>25</v>
      </c>
      <c r="C68" s="11" t="n">
        <v>46208</v>
      </c>
      <c r="D68" s="11" t="n">
        <v>46213</v>
      </c>
      <c r="E68" s="10" t="s">
        <v>32</v>
      </c>
      <c r="F68" s="12" t="n">
        <v>8</v>
      </c>
      <c r="G68" s="5" t="n">
        <v>167.4</v>
      </c>
      <c r="H68" s="5" t="n">
        <v>0</v>
      </c>
      <c r="I68" s="13" t="n">
        <v>1</v>
      </c>
      <c r="J68" s="13" t="n">
        <v>0</v>
      </c>
      <c r="K68" s="14" t="s">
        <v>27</v>
      </c>
      <c r="L68" s="5" t="n">
        <f aca="false">ROUND(H68*$B$2,2)</f>
        <v>0</v>
      </c>
    </row>
    <row r="69" customFormat="false" ht="15" hidden="false" customHeight="false" outlineLevel="0" collapsed="false">
      <c r="A69" s="10" t="s">
        <v>130</v>
      </c>
      <c r="B69" s="10" t="s">
        <v>25</v>
      </c>
      <c r="C69" s="11" t="n">
        <v>46222</v>
      </c>
      <c r="D69" s="11" t="n">
        <v>46232</v>
      </c>
      <c r="E69" s="10" t="s">
        <v>32</v>
      </c>
      <c r="F69" s="12" t="n">
        <v>6</v>
      </c>
      <c r="G69" s="5" t="n">
        <v>45</v>
      </c>
      <c r="H69" s="5" t="n">
        <v>45</v>
      </c>
      <c r="I69" s="13" t="n">
        <v>1</v>
      </c>
      <c r="J69" s="13" t="n">
        <v>1</v>
      </c>
      <c r="K69" s="16" t="s">
        <v>56</v>
      </c>
      <c r="L69" s="5" t="n">
        <f aca="false">ROUND(H69*$B$2,2)</f>
        <v>2.7</v>
      </c>
    </row>
    <row r="70" customFormat="false" ht="15" hidden="false" customHeight="false" outlineLevel="0" collapsed="false">
      <c r="A70" s="10" t="s">
        <v>131</v>
      </c>
      <c r="B70" s="10" t="s">
        <v>25</v>
      </c>
      <c r="C70" s="11" t="n">
        <v>46222</v>
      </c>
      <c r="D70" s="11" t="n">
        <v>46232</v>
      </c>
      <c r="E70" s="10" t="s">
        <v>26</v>
      </c>
      <c r="F70" s="12" t="n">
        <v>26</v>
      </c>
      <c r="G70" s="5" t="n">
        <v>256.8</v>
      </c>
      <c r="H70" s="5" t="n">
        <v>128.4</v>
      </c>
      <c r="I70" s="13" t="n">
        <v>1</v>
      </c>
      <c r="J70" s="13" t="n">
        <v>0.5</v>
      </c>
      <c r="K70" s="15" t="s">
        <v>35</v>
      </c>
      <c r="L70" s="5" t="n">
        <f aca="false">ROUND(H70*$B$2,2)</f>
        <v>7.7</v>
      </c>
    </row>
    <row r="71" customFormat="false" ht="15" hidden="false" customHeight="false" outlineLevel="0" collapsed="false">
      <c r="A71" s="10" t="s">
        <v>151</v>
      </c>
      <c r="B71" s="10" t="s">
        <v>25</v>
      </c>
      <c r="C71" s="11" t="n">
        <v>46229</v>
      </c>
      <c r="D71" s="11" t="n">
        <v>46231</v>
      </c>
      <c r="E71" s="10" t="s">
        <v>116</v>
      </c>
      <c r="F71" s="12" t="n">
        <v>2</v>
      </c>
      <c r="G71" s="5" t="n">
        <v>122.4</v>
      </c>
      <c r="H71" s="5" t="n">
        <v>122.4</v>
      </c>
      <c r="I71" s="13" t="n">
        <v>1</v>
      </c>
      <c r="J71" s="13" t="n">
        <v>1</v>
      </c>
      <c r="K71" s="16" t="s">
        <v>56</v>
      </c>
      <c r="L71" s="5" t="n">
        <f aca="false">ROUND(H71*$B$2,2)</f>
        <v>7.34</v>
      </c>
    </row>
    <row r="72" customFormat="false" ht="15" hidden="false" customHeight="false" outlineLevel="0" collapsed="false">
      <c r="A72" s="10" t="s">
        <v>132</v>
      </c>
      <c r="B72" s="10" t="s">
        <v>25</v>
      </c>
      <c r="C72" s="11" t="n">
        <v>46229</v>
      </c>
      <c r="D72" s="11" t="n">
        <v>46231</v>
      </c>
      <c r="E72" s="10" t="s">
        <v>32</v>
      </c>
      <c r="F72" s="12" t="n">
        <v>2</v>
      </c>
      <c r="G72" s="5" t="n">
        <v>23.5</v>
      </c>
      <c r="H72" s="5" t="n">
        <v>23.5</v>
      </c>
      <c r="I72" s="13" t="n">
        <v>1</v>
      </c>
      <c r="J72" s="13" t="n">
        <v>1</v>
      </c>
      <c r="K72" s="16" t="s">
        <v>56</v>
      </c>
      <c r="L72" s="5" t="n">
        <f aca="false">ROUND(H72*$B$2,2)</f>
        <v>1.41</v>
      </c>
    </row>
    <row r="73" customFormat="false" ht="15" hidden="false" customHeight="false" outlineLevel="0" collapsed="false">
      <c r="A73" s="10" t="s">
        <v>133</v>
      </c>
      <c r="B73" s="10" t="s">
        <v>25</v>
      </c>
      <c r="C73" s="11" t="n">
        <v>46229</v>
      </c>
      <c r="D73" s="11" t="n">
        <v>46243</v>
      </c>
      <c r="E73" s="10" t="s">
        <v>26</v>
      </c>
      <c r="F73" s="12" t="n">
        <v>18</v>
      </c>
      <c r="G73" s="5" t="n">
        <v>135</v>
      </c>
      <c r="H73" s="5" t="n">
        <v>270</v>
      </c>
      <c r="I73" s="13" t="n">
        <v>1</v>
      </c>
      <c r="J73" s="13" t="n">
        <v>2</v>
      </c>
      <c r="K73" s="16" t="s">
        <v>56</v>
      </c>
      <c r="L73" s="5" t="n">
        <f aca="false">ROUND(H73*$B$2,2)</f>
        <v>16.2</v>
      </c>
    </row>
    <row r="74" customFormat="false" ht="15" hidden="false" customHeight="false" outlineLevel="0" collapsed="false">
      <c r="A74" s="10" t="s">
        <v>152</v>
      </c>
      <c r="B74" s="10" t="s">
        <v>25</v>
      </c>
      <c r="C74" s="11" t="n">
        <v>46236</v>
      </c>
      <c r="D74" s="11" t="n">
        <v>46238</v>
      </c>
      <c r="E74" s="10" t="s">
        <v>116</v>
      </c>
      <c r="F74" s="12" t="n">
        <v>4</v>
      </c>
      <c r="G74" s="5" t="n">
        <v>244.8</v>
      </c>
      <c r="H74" s="5" t="n">
        <v>244.8</v>
      </c>
      <c r="I74" s="13" t="n">
        <v>1</v>
      </c>
      <c r="J74" s="13" t="n">
        <v>1</v>
      </c>
      <c r="K74" s="16" t="s">
        <v>56</v>
      </c>
      <c r="L74" s="5" t="n">
        <f aca="false">ROUND(H74*$B$2,2)</f>
        <v>14.69</v>
      </c>
    </row>
    <row r="75" customFormat="false" ht="15" hidden="false" customHeight="false" outlineLevel="0" collapsed="false">
      <c r="A75" s="6" t="s">
        <v>8</v>
      </c>
      <c r="B75" s="6"/>
      <c r="C75" s="6"/>
      <c r="D75" s="6"/>
      <c r="E75" s="6"/>
      <c r="F75" s="17" t="n">
        <f aca="false">SUM(F5:F74)</f>
        <v>1294</v>
      </c>
      <c r="G75" s="7" t="n">
        <f aca="false">SUM(G5:G74)</f>
        <v>40749.41</v>
      </c>
      <c r="H75" s="7" t="n">
        <f aca="false">SUM(H5:H74)</f>
        <v>18108.9</v>
      </c>
      <c r="I75" s="6"/>
      <c r="J75" s="6"/>
      <c r="K75" s="6"/>
      <c r="L75" s="7" t="n">
        <f aca="false">SUM(L5:L74)</f>
        <v>1086.54</v>
      </c>
    </row>
  </sheetData>
  <autoFilter ref="A4:L7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3"/>
    <col collapsed="false" customWidth="true" hidden="false" outlineLevel="0" max="3" min="3" style="0" width="11.5"/>
    <col collapsed="false" customWidth="true" hidden="false" outlineLevel="0" max="4" min="4" style="0" width="13"/>
    <col collapsed="false" customWidth="true" hidden="false" outlineLevel="0" max="5" min="5" style="0" width="7"/>
    <col collapsed="false" customWidth="true" hidden="false" outlineLevel="0" max="6" min="6" style="0" width="8"/>
    <col collapsed="false" customWidth="true" hidden="false" outlineLevel="0" max="8" min="7" style="0" width="14"/>
    <col collapsed="false" customWidth="true" hidden="false" outlineLevel="0" max="10" min="9" style="0" width="9"/>
    <col collapsed="false" customWidth="true" hidden="false" outlineLevel="0" max="11" min="11" style="0" width="11.5"/>
    <col collapsed="false" customWidth="true" hidden="false" outlineLevel="0" max="12" min="12" style="0" width="15"/>
  </cols>
  <sheetData>
    <row r="1" customFormat="false" ht="16.15" hidden="false" customHeight="false" outlineLevel="0" collapsed="false">
      <c r="A1" s="1" t="s">
        <v>153</v>
      </c>
    </row>
    <row r="2" customFormat="false" ht="15" hidden="false" customHeight="false" outlineLevel="0" collapsed="false">
      <c r="A2" s="8" t="s">
        <v>10</v>
      </c>
      <c r="B2" s="9" t="n">
        <v>0.04</v>
      </c>
      <c r="D2" s="2" t="s">
        <v>11</v>
      </c>
    </row>
    <row r="4" customFormat="false" ht="15" hidden="false" customHeight="false" outlineLevel="0" collapsed="false">
      <c r="A4" s="3" t="s">
        <v>12</v>
      </c>
      <c r="B4" s="3" t="s">
        <v>13</v>
      </c>
      <c r="C4" s="3" t="s">
        <v>14</v>
      </c>
      <c r="D4" s="3" t="s">
        <v>15</v>
      </c>
      <c r="E4" s="3" t="s">
        <v>16</v>
      </c>
      <c r="F4" s="3" t="s">
        <v>17</v>
      </c>
      <c r="G4" s="3" t="s">
        <v>18</v>
      </c>
      <c r="H4" s="3" t="s">
        <v>19</v>
      </c>
      <c r="I4" s="3" t="s">
        <v>20</v>
      </c>
      <c r="J4" s="3" t="s">
        <v>21</v>
      </c>
      <c r="K4" s="3" t="s">
        <v>22</v>
      </c>
      <c r="L4" s="3" t="s">
        <v>23</v>
      </c>
    </row>
    <row r="5" customFormat="false" ht="15" hidden="false" customHeight="false" outlineLevel="0" collapsed="false">
      <c r="A5" s="10" t="s">
        <v>154</v>
      </c>
      <c r="B5" s="10" t="s">
        <v>25</v>
      </c>
      <c r="C5" s="11" t="n">
        <v>46195</v>
      </c>
      <c r="D5" s="11" t="n">
        <v>46213</v>
      </c>
      <c r="E5" s="10" t="s">
        <v>32</v>
      </c>
      <c r="F5" s="12" t="n">
        <v>61</v>
      </c>
      <c r="G5" s="5" t="n">
        <v>786.25</v>
      </c>
      <c r="H5" s="5" t="n">
        <v>321.75</v>
      </c>
      <c r="I5" s="13" t="n">
        <v>1</v>
      </c>
      <c r="J5" s="13" t="n">
        <v>0.41</v>
      </c>
      <c r="K5" s="15" t="s">
        <v>35</v>
      </c>
      <c r="L5" s="5" t="n">
        <f aca="false">ROUND(H5*$B$2,2)</f>
        <v>12.87</v>
      </c>
    </row>
    <row r="6" customFormat="false" ht="15" hidden="false" customHeight="false" outlineLevel="0" collapsed="false">
      <c r="A6" s="10" t="s">
        <v>155</v>
      </c>
      <c r="B6" s="10" t="s">
        <v>25</v>
      </c>
      <c r="C6" s="11" t="n">
        <v>46195</v>
      </c>
      <c r="D6" s="11" t="n">
        <v>46204</v>
      </c>
      <c r="E6" s="10" t="s">
        <v>26</v>
      </c>
      <c r="F6" s="12" t="n">
        <v>5</v>
      </c>
      <c r="G6" s="5" t="n">
        <v>31.72</v>
      </c>
      <c r="H6" s="5" t="n">
        <v>0</v>
      </c>
      <c r="I6" s="13" t="n">
        <v>0</v>
      </c>
      <c r="J6" s="13" t="n">
        <v>0</v>
      </c>
      <c r="K6" s="14" t="s">
        <v>27</v>
      </c>
      <c r="L6" s="5" t="n">
        <f aca="false">ROUND(H6*$B$2,2)</f>
        <v>0</v>
      </c>
    </row>
    <row r="7" customFormat="false" ht="15" hidden="false" customHeight="false" outlineLevel="0" collapsed="false">
      <c r="A7" s="10" t="s">
        <v>156</v>
      </c>
      <c r="B7" s="10" t="s">
        <v>25</v>
      </c>
      <c r="C7" s="11" t="n">
        <v>46201</v>
      </c>
      <c r="D7" s="11" t="n">
        <v>46213</v>
      </c>
      <c r="E7" s="10" t="s">
        <v>32</v>
      </c>
      <c r="F7" s="12" t="n">
        <v>32</v>
      </c>
      <c r="G7" s="5" t="n">
        <v>650.32</v>
      </c>
      <c r="H7" s="5" t="n">
        <v>632.1</v>
      </c>
      <c r="I7" s="13" t="n">
        <v>1</v>
      </c>
      <c r="J7" s="13" t="n">
        <v>0.97</v>
      </c>
      <c r="K7" s="15" t="s">
        <v>35</v>
      </c>
      <c r="L7" s="5" t="n">
        <f aca="false">ROUND(H7*$B$2,2)</f>
        <v>25.28</v>
      </c>
    </row>
    <row r="8" customFormat="false" ht="15" hidden="false" customHeight="false" outlineLevel="0" collapsed="false">
      <c r="A8" s="10" t="s">
        <v>157</v>
      </c>
      <c r="B8" s="10" t="s">
        <v>25</v>
      </c>
      <c r="C8" s="11" t="n">
        <v>46201</v>
      </c>
      <c r="D8" s="11" t="n">
        <v>46208</v>
      </c>
      <c r="E8" s="10" t="s">
        <v>26</v>
      </c>
      <c r="F8" s="12" t="n">
        <v>3</v>
      </c>
      <c r="G8" s="5" t="n">
        <v>27.45</v>
      </c>
      <c r="H8" s="5" t="n">
        <v>0</v>
      </c>
      <c r="I8" s="13" t="n">
        <v>0</v>
      </c>
      <c r="J8" s="13" t="n">
        <v>0</v>
      </c>
      <c r="K8" s="14" t="s">
        <v>27</v>
      </c>
      <c r="L8" s="5" t="n">
        <f aca="false">ROUND(H8*$B$2,2)</f>
        <v>0</v>
      </c>
    </row>
    <row r="9" customFormat="false" ht="15" hidden="false" customHeight="false" outlineLevel="0" collapsed="false">
      <c r="A9" s="10" t="s">
        <v>158</v>
      </c>
      <c r="B9" s="10" t="s">
        <v>25</v>
      </c>
      <c r="C9" s="11" t="n">
        <v>46205</v>
      </c>
      <c r="D9" s="11" t="n">
        <v>46232</v>
      </c>
      <c r="E9" s="10" t="s">
        <v>26</v>
      </c>
      <c r="F9" s="12" t="n">
        <v>37</v>
      </c>
      <c r="G9" s="5" t="n">
        <v>337.07</v>
      </c>
      <c r="H9" s="5" t="n">
        <v>0</v>
      </c>
      <c r="I9" s="13" t="n">
        <v>0</v>
      </c>
      <c r="J9" s="13" t="n">
        <v>0</v>
      </c>
      <c r="K9" s="14" t="s">
        <v>27</v>
      </c>
      <c r="L9" s="5" t="n">
        <f aca="false">ROUND(H9*$B$2,2)</f>
        <v>0</v>
      </c>
    </row>
    <row r="10" customFormat="false" ht="15" hidden="false" customHeight="false" outlineLevel="0" collapsed="false">
      <c r="A10" s="10" t="s">
        <v>159</v>
      </c>
      <c r="B10" s="10" t="s">
        <v>25</v>
      </c>
      <c r="C10" s="11" t="n">
        <v>46205</v>
      </c>
      <c r="D10" s="11" t="n">
        <v>46232</v>
      </c>
      <c r="E10" s="10" t="s">
        <v>32</v>
      </c>
      <c r="F10" s="12" t="n">
        <v>17</v>
      </c>
      <c r="G10" s="5" t="n">
        <v>154.87</v>
      </c>
      <c r="H10" s="5" t="n">
        <v>0</v>
      </c>
      <c r="I10" s="13" t="n">
        <v>1</v>
      </c>
      <c r="J10" s="13" t="n">
        <v>0</v>
      </c>
      <c r="K10" s="18" t="s">
        <v>149</v>
      </c>
      <c r="L10" s="5" t="n">
        <f aca="false">ROUND(H10*$B$2,2)</f>
        <v>0</v>
      </c>
    </row>
    <row r="11" customFormat="false" ht="15" hidden="false" customHeight="false" outlineLevel="0" collapsed="false">
      <c r="A11" s="10" t="s">
        <v>160</v>
      </c>
      <c r="B11" s="10" t="s">
        <v>25</v>
      </c>
      <c r="C11" s="11" t="n">
        <v>46208</v>
      </c>
      <c r="D11" s="11" t="n">
        <v>46215</v>
      </c>
      <c r="E11" s="10" t="s">
        <v>26</v>
      </c>
      <c r="F11" s="12" t="n">
        <v>11</v>
      </c>
      <c r="G11" s="5" t="n">
        <v>100.33</v>
      </c>
      <c r="H11" s="5" t="n">
        <v>0</v>
      </c>
      <c r="I11" s="13" t="n">
        <v>0</v>
      </c>
      <c r="J11" s="13" t="n">
        <v>0</v>
      </c>
      <c r="K11" s="14" t="s">
        <v>27</v>
      </c>
      <c r="L11" s="5" t="n">
        <f aca="false">ROUND(H11*$B$2,2)</f>
        <v>0</v>
      </c>
    </row>
    <row r="12" customFormat="false" ht="15" hidden="false" customHeight="false" outlineLevel="0" collapsed="false">
      <c r="A12" s="10" t="s">
        <v>161</v>
      </c>
      <c r="B12" s="10" t="s">
        <v>25</v>
      </c>
      <c r="C12" s="11" t="n">
        <v>46208</v>
      </c>
      <c r="D12" s="11" t="n">
        <v>46215</v>
      </c>
      <c r="E12" s="10" t="s">
        <v>32</v>
      </c>
      <c r="F12" s="12" t="n">
        <v>2</v>
      </c>
      <c r="G12" s="5" t="n">
        <v>18.22</v>
      </c>
      <c r="H12" s="5" t="n">
        <v>0</v>
      </c>
      <c r="I12" s="13" t="n">
        <v>0</v>
      </c>
      <c r="J12" s="13" t="n">
        <v>0</v>
      </c>
      <c r="K12" s="14" t="s">
        <v>27</v>
      </c>
      <c r="L12" s="5" t="n">
        <f aca="false">ROUND(H12*$B$2,2)</f>
        <v>0</v>
      </c>
    </row>
    <row r="13" customFormat="false" ht="15" hidden="false" customHeight="false" outlineLevel="0" collapsed="false">
      <c r="A13" s="10" t="s">
        <v>162</v>
      </c>
      <c r="B13" s="10" t="s">
        <v>25</v>
      </c>
      <c r="C13" s="11" t="n">
        <v>46210</v>
      </c>
      <c r="D13" s="11" t="n">
        <v>46232</v>
      </c>
      <c r="E13" s="10" t="s">
        <v>26</v>
      </c>
      <c r="F13" s="12" t="n">
        <v>3</v>
      </c>
      <c r="G13" s="5" t="n">
        <v>13.5</v>
      </c>
      <c r="H13" s="5" t="n">
        <v>0</v>
      </c>
      <c r="I13" s="13" t="n">
        <v>0</v>
      </c>
      <c r="J13" s="13" t="n">
        <v>0</v>
      </c>
      <c r="K13" s="14" t="s">
        <v>27</v>
      </c>
      <c r="L13" s="5" t="n">
        <f aca="false">ROUND(H13*$B$2,2)</f>
        <v>0</v>
      </c>
    </row>
    <row r="14" customFormat="false" ht="15" hidden="false" customHeight="false" outlineLevel="0" collapsed="false">
      <c r="A14" s="10" t="s">
        <v>163</v>
      </c>
      <c r="B14" s="10" t="s">
        <v>25</v>
      </c>
      <c r="C14" s="11" t="n">
        <v>46210</v>
      </c>
      <c r="D14" s="11" t="n">
        <v>46232</v>
      </c>
      <c r="E14" s="10" t="s">
        <v>32</v>
      </c>
      <c r="F14" s="12" t="n">
        <v>2</v>
      </c>
      <c r="G14" s="5" t="n">
        <v>13.61</v>
      </c>
      <c r="H14" s="5" t="n">
        <v>0</v>
      </c>
      <c r="I14" s="13" t="n">
        <v>0</v>
      </c>
      <c r="J14" s="13" t="n">
        <v>0</v>
      </c>
      <c r="K14" s="14" t="s">
        <v>27</v>
      </c>
      <c r="L14" s="5" t="n">
        <f aca="false">ROUND(H14*$B$2,2)</f>
        <v>0</v>
      </c>
    </row>
    <row r="15" customFormat="false" ht="15" hidden="false" customHeight="false" outlineLevel="0" collapsed="false">
      <c r="A15" s="10" t="s">
        <v>164</v>
      </c>
      <c r="B15" s="10" t="s">
        <v>25</v>
      </c>
      <c r="C15" s="11" t="n">
        <v>46211</v>
      </c>
      <c r="D15" s="11" t="n">
        <v>46232</v>
      </c>
      <c r="E15" s="10" t="s">
        <v>32</v>
      </c>
      <c r="F15" s="12" t="n">
        <v>9</v>
      </c>
      <c r="G15" s="5" t="n">
        <v>68.16</v>
      </c>
      <c r="H15" s="5" t="n">
        <v>0</v>
      </c>
      <c r="I15" s="13" t="n">
        <v>0</v>
      </c>
      <c r="J15" s="13" t="n">
        <v>0</v>
      </c>
      <c r="K15" s="14" t="s">
        <v>27</v>
      </c>
      <c r="L15" s="5" t="n">
        <f aca="false">ROUND(H15*$B$2,2)</f>
        <v>0</v>
      </c>
    </row>
    <row r="16" customFormat="false" ht="15" hidden="false" customHeight="false" outlineLevel="0" collapsed="false">
      <c r="A16" s="10" t="s">
        <v>165</v>
      </c>
      <c r="B16" s="10" t="s">
        <v>25</v>
      </c>
      <c r="C16" s="11" t="n">
        <v>46211</v>
      </c>
      <c r="D16" s="11" t="n">
        <v>46232</v>
      </c>
      <c r="E16" s="10" t="s">
        <v>26</v>
      </c>
      <c r="F16" s="12" t="n">
        <v>3</v>
      </c>
      <c r="G16" s="5" t="n">
        <v>13.5</v>
      </c>
      <c r="H16" s="5" t="n">
        <v>0</v>
      </c>
      <c r="I16" s="13" t="n">
        <v>0</v>
      </c>
      <c r="J16" s="13" t="n">
        <v>0</v>
      </c>
      <c r="K16" s="14" t="s">
        <v>27</v>
      </c>
      <c r="L16" s="5" t="n">
        <f aca="false">ROUND(H16*$B$2,2)</f>
        <v>0</v>
      </c>
    </row>
    <row r="17" customFormat="false" ht="15" hidden="false" customHeight="false" outlineLevel="0" collapsed="false">
      <c r="A17" s="10" t="s">
        <v>166</v>
      </c>
      <c r="B17" s="10" t="s">
        <v>25</v>
      </c>
      <c r="C17" s="11" t="n">
        <v>46211</v>
      </c>
      <c r="D17" s="11" t="n">
        <v>46232</v>
      </c>
      <c r="E17" s="10" t="s">
        <v>26</v>
      </c>
      <c r="F17" s="12" t="n">
        <v>3</v>
      </c>
      <c r="G17" s="5" t="n">
        <v>75</v>
      </c>
      <c r="H17" s="5" t="n">
        <v>0</v>
      </c>
      <c r="I17" s="13" t="n">
        <v>0</v>
      </c>
      <c r="J17" s="13" t="n">
        <v>0</v>
      </c>
      <c r="K17" s="14" t="s">
        <v>27</v>
      </c>
      <c r="L17" s="5" t="n">
        <f aca="false">ROUND(H17*$B$2,2)</f>
        <v>0</v>
      </c>
    </row>
    <row r="18" customFormat="false" ht="15" hidden="false" customHeight="false" outlineLevel="0" collapsed="false">
      <c r="A18" s="10" t="s">
        <v>167</v>
      </c>
      <c r="B18" s="10" t="s">
        <v>25</v>
      </c>
      <c r="C18" s="11" t="n">
        <v>46215</v>
      </c>
      <c r="D18" s="11" t="n">
        <v>46222</v>
      </c>
      <c r="E18" s="10" t="s">
        <v>26</v>
      </c>
      <c r="F18" s="12" t="n">
        <v>19</v>
      </c>
      <c r="G18" s="5" t="n">
        <v>173.21</v>
      </c>
      <c r="H18" s="5" t="n">
        <v>0</v>
      </c>
      <c r="I18" s="13" t="n">
        <v>0</v>
      </c>
      <c r="J18" s="13" t="n">
        <v>0</v>
      </c>
      <c r="K18" s="14" t="s">
        <v>168</v>
      </c>
      <c r="L18" s="5" t="n">
        <f aca="false">ROUND(H18*$B$2,2)</f>
        <v>0</v>
      </c>
    </row>
    <row r="19" customFormat="false" ht="15" hidden="false" customHeight="false" outlineLevel="0" collapsed="false">
      <c r="A19" s="10" t="s">
        <v>169</v>
      </c>
      <c r="B19" s="10" t="s">
        <v>25</v>
      </c>
      <c r="C19" s="11" t="n">
        <v>46215</v>
      </c>
      <c r="D19" s="11" t="n">
        <v>46222</v>
      </c>
      <c r="E19" s="10" t="s">
        <v>32</v>
      </c>
      <c r="F19" s="12" t="n">
        <v>22</v>
      </c>
      <c r="G19" s="5" t="n">
        <v>191.2</v>
      </c>
      <c r="H19" s="5" t="n">
        <v>0</v>
      </c>
      <c r="I19" s="13" t="n">
        <v>0</v>
      </c>
      <c r="J19" s="13" t="n">
        <v>0</v>
      </c>
      <c r="K19" s="14" t="s">
        <v>168</v>
      </c>
      <c r="L19" s="5" t="n">
        <f aca="false">ROUND(H19*$B$2,2)</f>
        <v>0</v>
      </c>
    </row>
    <row r="20" customFormat="false" ht="15" hidden="false" customHeight="false" outlineLevel="0" collapsed="false">
      <c r="A20" s="10" t="s">
        <v>170</v>
      </c>
      <c r="B20" s="10" t="s">
        <v>25</v>
      </c>
      <c r="C20" s="11" t="n">
        <v>46222</v>
      </c>
      <c r="D20" s="11" t="n">
        <v>46229</v>
      </c>
      <c r="E20" s="10" t="s">
        <v>32</v>
      </c>
      <c r="F20" s="12" t="n">
        <v>24</v>
      </c>
      <c r="G20" s="5" t="n">
        <v>218.64</v>
      </c>
      <c r="H20" s="5" t="n">
        <v>0</v>
      </c>
      <c r="I20" s="13" t="n">
        <v>0</v>
      </c>
      <c r="J20" s="13" t="n">
        <v>0</v>
      </c>
      <c r="K20" s="14" t="s">
        <v>168</v>
      </c>
      <c r="L20" s="5" t="n">
        <f aca="false">ROUND(H20*$B$2,2)</f>
        <v>0</v>
      </c>
    </row>
    <row r="21" customFormat="false" ht="15" hidden="false" customHeight="false" outlineLevel="0" collapsed="false">
      <c r="A21" s="10" t="s">
        <v>171</v>
      </c>
      <c r="B21" s="10" t="s">
        <v>25</v>
      </c>
      <c r="C21" s="11" t="n">
        <v>46222</v>
      </c>
      <c r="D21" s="11" t="n">
        <v>46229</v>
      </c>
      <c r="E21" s="10" t="s">
        <v>26</v>
      </c>
      <c r="F21" s="12" t="n">
        <v>49</v>
      </c>
      <c r="G21" s="5" t="n">
        <v>446.39</v>
      </c>
      <c r="H21" s="5" t="n">
        <v>0</v>
      </c>
      <c r="I21" s="13" t="n">
        <v>0</v>
      </c>
      <c r="J21" s="13" t="n">
        <v>0</v>
      </c>
      <c r="K21" s="14" t="s">
        <v>168</v>
      </c>
      <c r="L21" s="5" t="n">
        <f aca="false">ROUND(H21*$B$2,2)</f>
        <v>0</v>
      </c>
    </row>
    <row r="22" customFormat="false" ht="15" hidden="false" customHeight="false" outlineLevel="0" collapsed="false">
      <c r="A22" s="10" t="s">
        <v>172</v>
      </c>
      <c r="B22" s="10" t="s">
        <v>173</v>
      </c>
      <c r="C22" s="11" t="n">
        <v>46223</v>
      </c>
      <c r="D22" s="11" t="n">
        <v>46247</v>
      </c>
      <c r="E22" s="10" t="s">
        <v>32</v>
      </c>
      <c r="F22" s="12" t="n">
        <v>240</v>
      </c>
      <c r="G22" s="5" t="n">
        <v>2196.96</v>
      </c>
      <c r="H22" s="5" t="n">
        <v>1633.44</v>
      </c>
      <c r="I22" s="13" t="n">
        <v>1</v>
      </c>
      <c r="J22" s="13" t="n">
        <v>0.74</v>
      </c>
      <c r="K22" s="15" t="s">
        <v>35</v>
      </c>
      <c r="L22" s="5" t="n">
        <f aca="false">ROUND(H22*$B$2,2)</f>
        <v>65.34</v>
      </c>
    </row>
    <row r="23" customFormat="false" ht="15" hidden="false" customHeight="false" outlineLevel="0" collapsed="false">
      <c r="A23" s="10" t="s">
        <v>174</v>
      </c>
      <c r="B23" s="10" t="s">
        <v>173</v>
      </c>
      <c r="C23" s="11" t="n">
        <v>46223</v>
      </c>
      <c r="D23" s="11" t="n">
        <v>46247</v>
      </c>
      <c r="E23" s="10" t="s">
        <v>26</v>
      </c>
      <c r="F23" s="12" t="n">
        <v>130</v>
      </c>
      <c r="G23" s="5" t="n">
        <v>1190.02</v>
      </c>
      <c r="H23" s="5" t="n">
        <v>884.78</v>
      </c>
      <c r="I23" s="13" t="n">
        <v>1</v>
      </c>
      <c r="J23" s="13" t="n">
        <v>0.74</v>
      </c>
      <c r="K23" s="15" t="s">
        <v>35</v>
      </c>
      <c r="L23" s="5" t="n">
        <f aca="false">ROUND(H23*$B$2,2)</f>
        <v>35.39</v>
      </c>
    </row>
    <row r="24" customFormat="false" ht="15" hidden="false" customHeight="false" outlineLevel="0" collapsed="false">
      <c r="A24" s="10" t="s">
        <v>175</v>
      </c>
      <c r="B24" s="10" t="s">
        <v>25</v>
      </c>
      <c r="C24" s="11" t="n">
        <v>46229</v>
      </c>
      <c r="D24" s="11" t="n">
        <v>46245</v>
      </c>
      <c r="E24" s="10" t="s">
        <v>32</v>
      </c>
      <c r="F24" s="12" t="n">
        <v>32</v>
      </c>
      <c r="G24" s="5" t="n">
        <v>674.24</v>
      </c>
      <c r="H24" s="5" t="n">
        <v>948.15</v>
      </c>
      <c r="I24" s="13" t="n">
        <v>1</v>
      </c>
      <c r="J24" s="13" t="n">
        <v>1.41</v>
      </c>
      <c r="K24" s="16" t="s">
        <v>56</v>
      </c>
      <c r="L24" s="5" t="n">
        <f aca="false">ROUND(H24*$B$2,2)</f>
        <v>37.93</v>
      </c>
    </row>
    <row r="25" customFormat="false" ht="15" hidden="false" customHeight="false" outlineLevel="0" collapsed="false">
      <c r="A25" s="10" t="s">
        <v>176</v>
      </c>
      <c r="B25" s="10" t="s">
        <v>173</v>
      </c>
      <c r="C25" s="11" t="n">
        <v>46230</v>
      </c>
      <c r="D25" s="11" t="n">
        <v>46247</v>
      </c>
      <c r="E25" s="10" t="s">
        <v>32</v>
      </c>
      <c r="F25" s="12" t="n">
        <v>116</v>
      </c>
      <c r="G25" s="5" t="n">
        <v>780.95</v>
      </c>
      <c r="H25" s="5" t="n">
        <v>240.91</v>
      </c>
      <c r="I25" s="13" t="n">
        <v>1</v>
      </c>
      <c r="J25" s="13" t="n">
        <v>0.31</v>
      </c>
      <c r="K25" s="15" t="s">
        <v>35</v>
      </c>
      <c r="L25" s="5" t="n">
        <f aca="false">ROUND(H25*$B$2,2)</f>
        <v>9.64</v>
      </c>
    </row>
    <row r="26" customFormat="false" ht="15" hidden="false" customHeight="false" outlineLevel="0" collapsed="false">
      <c r="A26" s="10" t="s">
        <v>177</v>
      </c>
      <c r="B26" s="10" t="s">
        <v>173</v>
      </c>
      <c r="C26" s="11" t="n">
        <v>46230</v>
      </c>
      <c r="D26" s="11" t="n">
        <v>46247</v>
      </c>
      <c r="E26" s="10" t="s">
        <v>26</v>
      </c>
      <c r="F26" s="12" t="n">
        <v>62</v>
      </c>
      <c r="G26" s="5" t="n">
        <v>396.78</v>
      </c>
      <c r="H26" s="5" t="n">
        <v>68.06</v>
      </c>
      <c r="I26" s="13" t="n">
        <v>1</v>
      </c>
      <c r="J26" s="13" t="n">
        <v>0.17</v>
      </c>
      <c r="K26" s="15" t="s">
        <v>35</v>
      </c>
      <c r="L26" s="5" t="n">
        <f aca="false">ROUND(H26*$B$2,2)</f>
        <v>2.72</v>
      </c>
    </row>
    <row r="27" customFormat="false" ht="15" hidden="false" customHeight="false" outlineLevel="0" collapsed="false">
      <c r="A27" s="10" t="s">
        <v>178</v>
      </c>
      <c r="B27" s="10" t="s">
        <v>173</v>
      </c>
      <c r="C27" s="11" t="n">
        <v>46237</v>
      </c>
      <c r="D27" s="11" t="n">
        <v>46247</v>
      </c>
      <c r="E27" s="10" t="s">
        <v>32</v>
      </c>
      <c r="F27" s="12" t="n">
        <v>238</v>
      </c>
      <c r="G27" s="5" t="n">
        <v>2008.6</v>
      </c>
      <c r="H27" s="5" t="n">
        <v>2008.6</v>
      </c>
      <c r="I27" s="13" t="n">
        <v>1</v>
      </c>
      <c r="J27" s="13" t="n">
        <v>1</v>
      </c>
      <c r="K27" s="16" t="s">
        <v>56</v>
      </c>
      <c r="L27" s="5" t="n">
        <f aca="false">ROUND(H27*$B$2,2)</f>
        <v>80.34</v>
      </c>
    </row>
    <row r="28" customFormat="false" ht="15" hidden="false" customHeight="false" outlineLevel="0" collapsed="false">
      <c r="A28" s="10" t="s">
        <v>179</v>
      </c>
      <c r="B28" s="10" t="s">
        <v>173</v>
      </c>
      <c r="C28" s="11" t="n">
        <v>46237</v>
      </c>
      <c r="D28" s="11" t="n">
        <v>46247</v>
      </c>
      <c r="E28" s="10" t="s">
        <v>26</v>
      </c>
      <c r="F28" s="12" t="n">
        <v>140</v>
      </c>
      <c r="G28" s="5" t="n">
        <v>1215.17</v>
      </c>
      <c r="H28" s="5" t="n">
        <v>1215.17</v>
      </c>
      <c r="I28" s="13" t="n">
        <v>1</v>
      </c>
      <c r="J28" s="13" t="n">
        <v>1</v>
      </c>
      <c r="K28" s="16" t="s">
        <v>56</v>
      </c>
      <c r="L28" s="5" t="n">
        <f aca="false">ROUND(H28*$B$2,2)</f>
        <v>48.61</v>
      </c>
    </row>
    <row r="29" customFormat="false" ht="15" hidden="false" customHeight="false" outlineLevel="0" collapsed="false">
      <c r="A29" s="6" t="s">
        <v>8</v>
      </c>
      <c r="B29" s="6"/>
      <c r="C29" s="6"/>
      <c r="D29" s="6"/>
      <c r="E29" s="6"/>
      <c r="F29" s="17" t="n">
        <f aca="false">SUM(F5:F28)</f>
        <v>1260</v>
      </c>
      <c r="G29" s="7" t="n">
        <f aca="false">SUM(G5:G28)</f>
        <v>11782.16</v>
      </c>
      <c r="H29" s="7" t="n">
        <f aca="false">SUM(H5:H28)</f>
        <v>7952.96</v>
      </c>
      <c r="I29" s="6"/>
      <c r="J29" s="6"/>
      <c r="K29" s="6"/>
      <c r="L29" s="7" t="n">
        <f aca="false">SUM(L5:L28)</f>
        <v>318.12</v>
      </c>
    </row>
  </sheetData>
  <autoFilter ref="A4:L2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2026-08-17T15:09:59Z</dcterms:created>
  <dc:creator>openpyxl</dc:creator>
  <dc:description/>
  <dc:language>en-US</dc:language>
  <cp:lastModifiedBy/>
  <dcterms:modified xsi:type="dcterms:W3CDTF">2026-08-17T15:09:59Z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