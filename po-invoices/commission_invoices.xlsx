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arah" sheetId="2" state="visible" r:id="rId4"/>
    <sheet name="SONDOS" sheetId="3" state="visible" r:id="rId5"/>
    <sheet name="Wadi Half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<sst xmlns="http://schemas.openxmlformats.org/spreadsheetml/2006/main" count="297" uniqueCount="172">
  <si>
    <t xml:space="preserve">Commission Invoices — Summary</t>
  </si>
  <si>
    <t xml:space="preserve">Number of invoices:</t>
  </si>
  <si>
    <t xml:space="preserve">Invoice</t>
  </si>
  <si>
    <t xml:space="preserve">Customer</t>
  </si>
  <si>
    <t xml:space="preserve">Brand</t>
  </si>
  <si>
    <t xml:space="preserve">Month</t>
  </si>
  <si>
    <t xml:space="preserve">POs</t>
  </si>
  <si>
    <t xml:space="preserve">Received (SAR)</t>
  </si>
  <si>
    <t xml:space="preserve">Commission (SAR)</t>
  </si>
  <si>
    <t xml:space="preserve">INV-SONDOS-2025-09</t>
  </si>
  <si>
    <t xml:space="preserve">Alaris Group</t>
  </si>
  <si>
    <t xml:space="preserve">SONDOS</t>
  </si>
  <si>
    <t xml:space="preserve">INV-MARAH-2025-10</t>
  </si>
  <si>
    <t xml:space="preserve">Marah</t>
  </si>
  <si>
    <t xml:space="preserve">INV-SONDOS-2025-10</t>
  </si>
  <si>
    <t xml:space="preserve">INV-MARAH-2025-11</t>
  </si>
  <si>
    <t xml:space="preserve">INV-SONDOS-2025-11</t>
  </si>
  <si>
    <t xml:space="preserve">INV-MARAH-2025-12</t>
  </si>
  <si>
    <t xml:space="preserve">INV-SONDOS-2025-12</t>
  </si>
  <si>
    <t xml:space="preserve">INV-MARAH-2026-01</t>
  </si>
  <si>
    <t xml:space="preserve">INV-SONDOS-2026-01</t>
  </si>
  <si>
    <t xml:space="preserve">INV-MARAH-2026-02</t>
  </si>
  <si>
    <t xml:space="preserve">INV-SONDOS-2026-02</t>
  </si>
  <si>
    <t xml:space="preserve">INV-MARAH-2026-03</t>
  </si>
  <si>
    <t xml:space="preserve">INV-SONDOS-2026-03</t>
  </si>
  <si>
    <t xml:space="preserve">INV-MARAH-2026-04</t>
  </si>
  <si>
    <t xml:space="preserve">INV-SONDOS-2026-04</t>
  </si>
  <si>
    <t xml:space="preserve">INV-MARAH-2026-05</t>
  </si>
  <si>
    <t xml:space="preserve">INV-SONDOS-2026-05</t>
  </si>
  <si>
    <t xml:space="preserve">INV-MARAH-2026-06</t>
  </si>
  <si>
    <t xml:space="preserve">INV-SONDOS-2026-06</t>
  </si>
  <si>
    <t xml:space="preserve">INV-WADIHALFA-2026-06</t>
  </si>
  <si>
    <t xml:space="preserve">Wadi Halfa</t>
  </si>
  <si>
    <t xml:space="preserve">INV-MARAH-2026-07</t>
  </si>
  <si>
    <t xml:space="preserve">INV-SONDOS-2026-07</t>
  </si>
  <si>
    <t xml:space="preserve">INV-WADIHALFA-2026-07</t>
  </si>
  <si>
    <t xml:space="preserve">INV-MARAH-2026-08</t>
  </si>
  <si>
    <t xml:space="preserve">INV-SONDOS-2026-08</t>
  </si>
  <si>
    <t xml:space="preserve">INV-WADIHALFA-2026-08</t>
  </si>
  <si>
    <t xml:space="preserve">Total</t>
  </si>
  <si>
    <t xml:space="preserve">Marah — Commission Invoices — Customer: Alaris Group</t>
  </si>
  <si>
    <t xml:space="preserve">Commission rate (of received):</t>
  </si>
  <si>
    <t xml:space="preserve">Commission per PO = ROUND(Received × rate, 2).</t>
  </si>
  <si>
    <t xml:space="preserve">Description</t>
  </si>
  <si>
    <t xml:space="preserve">Commission %</t>
  </si>
  <si>
    <t xml:space="preserve">Nasam Commission (SAR)</t>
  </si>
  <si>
    <t xml:space="preserve">INV-MARAH-2025-10  ·  Alaris Group  ·  Oct 2025</t>
  </si>
  <si>
    <t xml:space="preserve">Amazon Retail PO#4TN3ZVSL</t>
  </si>
  <si>
    <t xml:space="preserve">Amazon Retail PO#6PP725QB</t>
  </si>
  <si>
    <t xml:space="preserve">Invoice total</t>
  </si>
  <si>
    <t xml:space="preserve">INV-MARAH-2025-11  ·  Alaris Group  ·  Nov 2025</t>
  </si>
  <si>
    <t xml:space="preserve">Amazon Retail PO#2P93YCEF</t>
  </si>
  <si>
    <t xml:space="preserve">Amazon Retail PO#6DY1IPME</t>
  </si>
  <si>
    <t xml:space="preserve">Amazon Retail PO#6WB73PWY</t>
  </si>
  <si>
    <t xml:space="preserve">INV-MARAH-2025-12  ·  Alaris Group  ·  Dec 2025</t>
  </si>
  <si>
    <t xml:space="preserve">Amazon Retail PO#5EN36W7Q</t>
  </si>
  <si>
    <t xml:space="preserve">Amazon Retail PO#6CZVU75G</t>
  </si>
  <si>
    <t xml:space="preserve">Amazon Retail PO#7M6TKRHR</t>
  </si>
  <si>
    <t xml:space="preserve">Amazon Retail PO#6TDL7ZQP</t>
  </si>
  <si>
    <t xml:space="preserve">Amazon Retail PO#6PSDP49U</t>
  </si>
  <si>
    <t xml:space="preserve">Amazon Retail PO#797EACNS</t>
  </si>
  <si>
    <t xml:space="preserve">Amazon Retail PO#6UBMEEFU</t>
  </si>
  <si>
    <t xml:space="preserve">Amazon Retail PO#6V3M52MA</t>
  </si>
  <si>
    <t xml:space="preserve">INV-MARAH-2026-01  ·  Alaris Group  ·  Jan 2026</t>
  </si>
  <si>
    <t xml:space="preserve">Amazon Retail PO#6PH6KTZF</t>
  </si>
  <si>
    <t xml:space="preserve">Amazon Retail PO#6S9RVIGN</t>
  </si>
  <si>
    <t xml:space="preserve">Amazon Retail PO#8GLJBAPU</t>
  </si>
  <si>
    <t xml:space="preserve">Amazon Retail PO#2B5T42JL</t>
  </si>
  <si>
    <t xml:space="preserve">Amazon Retail PO#4MD92H1G</t>
  </si>
  <si>
    <t xml:space="preserve">Amazon Retail PO#3NBXS26G</t>
  </si>
  <si>
    <t xml:space="preserve">INV-MARAH-2026-02  ·  Alaris Group  ·  Feb 2026</t>
  </si>
  <si>
    <t xml:space="preserve">Amazon Retail PO#2776KBES</t>
  </si>
  <si>
    <t xml:space="preserve">Amazon Retail PO#35A5IQ5O</t>
  </si>
  <si>
    <t xml:space="preserve">Amazon Retail PO#2NMPDC6A</t>
  </si>
  <si>
    <t xml:space="preserve">Amazon Retail PO#63CNSAWW</t>
  </si>
  <si>
    <t xml:space="preserve">Amazon Retail PO#2Q2CPLWE</t>
  </si>
  <si>
    <t xml:space="preserve">Amazon Retail PO#47SZZRUF</t>
  </si>
  <si>
    <t xml:space="preserve">Amazon Retail PO#5CHSK8EF</t>
  </si>
  <si>
    <t xml:space="preserve">Amazon Retail PO#8MME3VWE</t>
  </si>
  <si>
    <t xml:space="preserve">INV-MARAH-2026-03  ·  Alaris Group  ·  Mar 2026</t>
  </si>
  <si>
    <t xml:space="preserve">Amazon Retail PO#33272MDV</t>
  </si>
  <si>
    <t xml:space="preserve">Amazon Retail PO#4VGJUUTB</t>
  </si>
  <si>
    <t xml:space="preserve">Amazon Retail PO#56ODNFEU</t>
  </si>
  <si>
    <t xml:space="preserve">Amazon Retail PO#6BQUXPAB</t>
  </si>
  <si>
    <t xml:space="preserve">Amazon Retail PO#7BB3BSGS</t>
  </si>
  <si>
    <t xml:space="preserve">Amazon Retail PO#1KBAMBMY</t>
  </si>
  <si>
    <t xml:space="preserve">Amazon Retail PO#12NKR58W</t>
  </si>
  <si>
    <t xml:space="preserve">Amazon Retail PO#6NWUZ15U</t>
  </si>
  <si>
    <t xml:space="preserve">Amazon Retail PO#7WF53VUB</t>
  </si>
  <si>
    <t xml:space="preserve">INV-MARAH-2026-04  ·  Alaris Group  ·  Apr 2026</t>
  </si>
  <si>
    <t xml:space="preserve">Amazon Retail PO#2I94WCYC</t>
  </si>
  <si>
    <t xml:space="preserve">Amazon Retail PO#8GDABTDG</t>
  </si>
  <si>
    <t xml:space="preserve">Amazon Retail PO#2FMA3P2X</t>
  </si>
  <si>
    <t xml:space="preserve">Amazon Retail PO#5PE3P2GE</t>
  </si>
  <si>
    <t xml:space="preserve">Amazon Retail PO#45NJYTSJ</t>
  </si>
  <si>
    <t xml:space="preserve">Amazon Retail PO#5A5RRTQI</t>
  </si>
  <si>
    <t xml:space="preserve">Amazon Retail PO#2ZQ63SQZ</t>
  </si>
  <si>
    <t xml:space="preserve">Amazon Retail PO#5C8HGLYP</t>
  </si>
  <si>
    <t xml:space="preserve">INV-MARAH-2026-05  ·  Alaris Group  ·  May 2026</t>
  </si>
  <si>
    <t xml:space="preserve">Amazon Retail PO#4DM5ZX9S</t>
  </si>
  <si>
    <t xml:space="preserve">Amazon Retail PO#5ZC4GIJB</t>
  </si>
  <si>
    <t xml:space="preserve">Amazon Retail PO#6YXMCSBG</t>
  </si>
  <si>
    <t xml:space="preserve">Amazon Retail PO#7FQQP3YA</t>
  </si>
  <si>
    <t xml:space="preserve">Amazon Retail PO#4HJZN3HS</t>
  </si>
  <si>
    <t xml:space="preserve">Amazon Retail PO#5YTDVHBW</t>
  </si>
  <si>
    <t xml:space="preserve">Amazon Retail PO#64ZRO2IW</t>
  </si>
  <si>
    <t xml:space="preserve">Amazon Retail PO#4J9CPFNV</t>
  </si>
  <si>
    <t xml:space="preserve">Amazon Retail PO#6G32T7VG</t>
  </si>
  <si>
    <t xml:space="preserve">Amazon Retail PO#2B23XHGH</t>
  </si>
  <si>
    <t xml:space="preserve">Amazon Retail PO#57VZIBCA</t>
  </si>
  <si>
    <t xml:space="preserve">Amazon Retail PO#31WXVSCY</t>
  </si>
  <si>
    <t xml:space="preserve">INV-MARAH-2026-06  ·  Alaris Group  ·  Jun 2026</t>
  </si>
  <si>
    <t xml:space="preserve">Amazon Retail PO#27HTOR4Q</t>
  </si>
  <si>
    <t xml:space="preserve">Amazon Retail PO#77DN671B</t>
  </si>
  <si>
    <t xml:space="preserve">Amazon Retail PO#6YXQJTKI</t>
  </si>
  <si>
    <t xml:space="preserve">Amazon Retail PO#78GBUJ1W</t>
  </si>
  <si>
    <t xml:space="preserve">Amazon Retail PO#8MHCMNQO</t>
  </si>
  <si>
    <t xml:space="preserve">Amazon Retail PO#5R5X8LID</t>
  </si>
  <si>
    <t xml:space="preserve">Amazon Retail PO#6DPTSK1M</t>
  </si>
  <si>
    <t xml:space="preserve">Amazon Retail PO#2AMQJ9LR</t>
  </si>
  <si>
    <t xml:space="preserve">INV-MARAH-2026-07  ·  Alaris Group  ·  Jul 2026</t>
  </si>
  <si>
    <t xml:space="preserve">Amazon Retail PO#6HIM13WU</t>
  </si>
  <si>
    <t xml:space="preserve">Amazon Retail PO#7HEB8XWB</t>
  </si>
  <si>
    <t xml:space="preserve">Amazon Retail PO#7X4T9L9X</t>
  </si>
  <si>
    <t xml:space="preserve">Amazon Retail PO#224Y4ETZ</t>
  </si>
  <si>
    <t xml:space="preserve">Amazon Retail PO#3UR2NYQH</t>
  </si>
  <si>
    <t xml:space="preserve">Amazon Retail PO#74LAZ8YS</t>
  </si>
  <si>
    <t xml:space="preserve">Amazon Retail PO#65T5PXVI</t>
  </si>
  <si>
    <t xml:space="preserve">Amazon Retail PO#6Z9UWMBO</t>
  </si>
  <si>
    <t xml:space="preserve">Amazon Retail PO#7CS7ZUYR</t>
  </si>
  <si>
    <t xml:space="preserve">Amazon Retail PO#5249UCBK</t>
  </si>
  <si>
    <t xml:space="preserve">Amazon Retail PO#64TUIPCQ</t>
  </si>
  <si>
    <t xml:space="preserve">INV-MARAH-2026-08  ·  Alaris Group  ·  Aug 2026</t>
  </si>
  <si>
    <t xml:space="preserve">Amazon Retail PO#13WKUXGQ</t>
  </si>
  <si>
    <t xml:space="preserve">Amazon Retail PO#17WV7XMX</t>
  </si>
  <si>
    <t xml:space="preserve">Amazon Retail PO#53LUQGQJ</t>
  </si>
  <si>
    <t xml:space="preserve">SONDOS — Commission Invoices — Customer: Alaris Group</t>
  </si>
  <si>
    <t xml:space="preserve">INV-SONDOS-2025-09  ·  Alaris Group  ·  Sep 2025</t>
  </si>
  <si>
    <t xml:space="preserve">Amazon Retail PO#32EZOEJU</t>
  </si>
  <si>
    <t xml:space="preserve">INV-SONDOS-2025-10  ·  Alaris Group  ·  Oct 2025</t>
  </si>
  <si>
    <t xml:space="preserve">INV-SONDOS-2025-11  ·  Alaris Group  ·  Nov 2025</t>
  </si>
  <si>
    <t xml:space="preserve">INV-SONDOS-2025-12  ·  Alaris Group  ·  Dec 2025</t>
  </si>
  <si>
    <t xml:space="preserve">Amazon Retail PO#5ILLL7BX</t>
  </si>
  <si>
    <t xml:space="preserve">INV-SONDOS-2026-01  ·  Alaris Group  ·  Jan 2026</t>
  </si>
  <si>
    <t xml:space="preserve">Amazon Retail PO#1G7W4QOA</t>
  </si>
  <si>
    <t xml:space="preserve">Amazon Retail PO#4Q9D66FC</t>
  </si>
  <si>
    <t xml:space="preserve">INV-SONDOS-2026-02  ·  Alaris Group  ·  Feb 2026</t>
  </si>
  <si>
    <t xml:space="preserve">Amazon Retail PO#85YJNW7Z</t>
  </si>
  <si>
    <t xml:space="preserve">INV-SONDOS-2026-03  ·  Alaris Group  ·  Mar 2026</t>
  </si>
  <si>
    <t xml:space="preserve">Amazon Retail PO#3EO1QUXF</t>
  </si>
  <si>
    <t xml:space="preserve">Amazon Retail PO#1Y1T5K2Z</t>
  </si>
  <si>
    <t xml:space="preserve">INV-SONDOS-2026-04  ·  Alaris Group  ·  Apr 2026</t>
  </si>
  <si>
    <t xml:space="preserve">INV-SONDOS-2026-05  ·  Alaris Group  ·  May 2026</t>
  </si>
  <si>
    <t xml:space="preserve">INV-SONDOS-2026-06  ·  Alaris Group  ·  Jun 2026</t>
  </si>
  <si>
    <t xml:space="preserve">Amazon Retail PO#34RW3MWX</t>
  </si>
  <si>
    <t xml:space="preserve">INV-SONDOS-2026-07  ·  Alaris Group  ·  Jul 2026</t>
  </si>
  <si>
    <t xml:space="preserve">Amazon Retail PO#2VS58KHE</t>
  </si>
  <si>
    <t xml:space="preserve">INV-SONDOS-2026-08  ·  Alaris Group  ·  Aug 2026</t>
  </si>
  <si>
    <t xml:space="preserve">Amazon Retail PO#1F6WGJRN</t>
  </si>
  <si>
    <t xml:space="preserve">Wadi Halfa — Commission Invoices — Customer: Wadi Halfa</t>
  </si>
  <si>
    <t xml:space="preserve">INV-WADIHALFA-2026-06  ·  Wadi Halfa  ·  Jun 2026</t>
  </si>
  <si>
    <t xml:space="preserve">Amazon Retail PO#523FHETX</t>
  </si>
  <si>
    <t xml:space="preserve">Amazon Retail PO#4KDCOEYS</t>
  </si>
  <si>
    <t xml:space="preserve">INV-WADIHALFA-2026-07  ·  Wadi Halfa  ·  Jul 2026</t>
  </si>
  <si>
    <t xml:space="preserve">Ninja PO#2600607394</t>
  </si>
  <si>
    <t xml:space="preserve">Ninja PO#2600607555</t>
  </si>
  <si>
    <t xml:space="preserve">Amazon Retail PO#6WAWK77S</t>
  </si>
  <si>
    <t xml:space="preserve">Ninja PO#2600629370</t>
  </si>
  <si>
    <t xml:space="preserve">Ninja PO#2600629540</t>
  </si>
  <si>
    <t xml:space="preserve">INV-WADIHALFA-2026-08  ·  Wadi Halfa  ·  Aug 2026</t>
  </si>
  <si>
    <t xml:space="preserve">Ninja PO#2600651634</t>
  </si>
  <si>
    <t xml:space="preserve">Ninja PO#2600651819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</si>
</sst>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mmm\ yyyy"/>
    <numFmt numFmtId="167" formatCode="#,##0.00"/>
    <numFmt numFmtId="168" formatCode="0"/>
    <numFmt numFmtId="169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1F4E7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 style="thin">
        <color rgb="FF1F4E7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7"/>
    <col collapsed="false" customWidth="true" hidden="false" outlineLevel="0" max="6" min="6" style="0" width="14"/>
    <col collapsed="false" customWidth="true" hidden="false" outlineLevel="0" max="7" min="7" style="0" width="15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n">
        <f aca="false">COUNTA(A5:A30)</f>
        <v>26</v>
      </c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15" hidden="false" customHeight="false" outlineLevel="0" collapsed="false">
      <c r="A5" s="5" t="s">
        <v>9</v>
      </c>
      <c r="B5" s="5" t="s">
        <v>10</v>
      </c>
      <c r="C5" s="5" t="s">
        <v>11</v>
      </c>
      <c r="D5" s="6" t="n">
        <v>45901</v>
      </c>
      <c r="E5" s="5" t="n">
        <f aca="false">COUNTA(SONDOS!$A$6:$A$6)</f>
        <v>1</v>
      </c>
      <c r="F5" s="7" t="n">
        <f aca="false">SONDOS!$C$7</f>
        <v>205.6</v>
      </c>
      <c r="G5" s="7" t="n">
        <f aca="false">SONDOS!$E$7</f>
        <v>12.34</v>
      </c>
    </row>
    <row r="6" customFormat="false" ht="15" hidden="false" customHeight="false" outlineLevel="0" collapsed="false">
      <c r="A6" s="5" t="s">
        <v>12</v>
      </c>
      <c r="B6" s="5" t="s">
        <v>10</v>
      </c>
      <c r="C6" s="5" t="s">
        <v>13</v>
      </c>
      <c r="D6" s="6" t="n">
        <v>45931</v>
      </c>
      <c r="E6" s="5" t="n">
        <f aca="false">COUNTA(Marah!$A$6:$A$7)</f>
        <v>2</v>
      </c>
      <c r="F6" s="7" t="n">
        <f aca="false">Marah!$C$8</f>
        <v>398</v>
      </c>
      <c r="G6" s="7" t="n">
        <f aca="false">Marah!$E$8</f>
        <v>23.88</v>
      </c>
    </row>
    <row r="7" customFormat="false" ht="15" hidden="false" customHeight="false" outlineLevel="0" collapsed="false">
      <c r="A7" s="5" t="s">
        <v>14</v>
      </c>
      <c r="B7" s="5" t="s">
        <v>10</v>
      </c>
      <c r="C7" s="5" t="s">
        <v>11</v>
      </c>
      <c r="D7" s="6" t="n">
        <v>45931</v>
      </c>
      <c r="E7" s="5" t="n">
        <f aca="false">COUNTA(SONDOS!$A$10:$A$10)</f>
        <v>1</v>
      </c>
      <c r="F7" s="7" t="n">
        <f aca="false">SONDOS!$C$11</f>
        <v>1101.6</v>
      </c>
      <c r="G7" s="7" t="n">
        <f aca="false">SONDOS!$E$11</f>
        <v>66.1</v>
      </c>
    </row>
    <row r="8" customFormat="false" ht="15" hidden="false" customHeight="false" outlineLevel="0" collapsed="false">
      <c r="A8" s="5" t="s">
        <v>15</v>
      </c>
      <c r="B8" s="5" t="s">
        <v>10</v>
      </c>
      <c r="C8" s="5" t="s">
        <v>13</v>
      </c>
      <c r="D8" s="6" t="n">
        <v>45962</v>
      </c>
      <c r="E8" s="5" t="n">
        <f aca="false">COUNTA(Marah!$A$11:$A$13)</f>
        <v>3</v>
      </c>
      <c r="F8" s="7" t="n">
        <f aca="false">Marah!$C$14</f>
        <v>2358.2</v>
      </c>
      <c r="G8" s="7" t="n">
        <f aca="false">Marah!$E$14</f>
        <v>141.49</v>
      </c>
    </row>
    <row r="9" customFormat="false" ht="15" hidden="false" customHeight="false" outlineLevel="0" collapsed="false">
      <c r="A9" s="5" t="s">
        <v>16</v>
      </c>
      <c r="B9" s="5" t="s">
        <v>10</v>
      </c>
      <c r="C9" s="5" t="s">
        <v>11</v>
      </c>
      <c r="D9" s="6" t="n">
        <v>45962</v>
      </c>
      <c r="E9" s="5" t="n">
        <f aca="false">COUNTA(SONDOS!$A$14:$A$15)</f>
        <v>2</v>
      </c>
      <c r="F9" s="7" t="n">
        <f aca="false">SONDOS!$C$16</f>
        <v>4409.7</v>
      </c>
      <c r="G9" s="7" t="n">
        <f aca="false">SONDOS!$E$16</f>
        <v>264.59</v>
      </c>
    </row>
    <row r="10" customFormat="false" ht="15" hidden="false" customHeight="false" outlineLevel="0" collapsed="false">
      <c r="A10" s="5" t="s">
        <v>17</v>
      </c>
      <c r="B10" s="5" t="s">
        <v>10</v>
      </c>
      <c r="C10" s="5" t="s">
        <v>13</v>
      </c>
      <c r="D10" s="6" t="n">
        <v>45992</v>
      </c>
      <c r="E10" s="5" t="n">
        <f aca="false">COUNTA(Marah!$A$17:$A$24)</f>
        <v>8</v>
      </c>
      <c r="F10" s="7" t="n">
        <f aca="false">Marah!$C$25</f>
        <v>2085.7</v>
      </c>
      <c r="G10" s="7" t="n">
        <f aca="false">Marah!$E$25</f>
        <v>125.15</v>
      </c>
    </row>
    <row r="11" customFormat="false" ht="15" hidden="false" customHeight="false" outlineLevel="0" collapsed="false">
      <c r="A11" s="5" t="s">
        <v>18</v>
      </c>
      <c r="B11" s="5" t="s">
        <v>10</v>
      </c>
      <c r="C11" s="5" t="s">
        <v>11</v>
      </c>
      <c r="D11" s="6" t="n">
        <v>45992</v>
      </c>
      <c r="E11" s="5" t="n">
        <f aca="false">COUNTA(SONDOS!$A$19:$A$23)</f>
        <v>5</v>
      </c>
      <c r="F11" s="7" t="n">
        <f aca="false">SONDOS!$C$24</f>
        <v>713.9</v>
      </c>
      <c r="G11" s="7" t="n">
        <f aca="false">SONDOS!$E$24</f>
        <v>42.83</v>
      </c>
    </row>
    <row r="12" customFormat="false" ht="15" hidden="false" customHeight="false" outlineLevel="0" collapsed="false">
      <c r="A12" s="5" t="s">
        <v>19</v>
      </c>
      <c r="B12" s="5" t="s">
        <v>10</v>
      </c>
      <c r="C12" s="5" t="s">
        <v>13</v>
      </c>
      <c r="D12" s="6" t="n">
        <v>46023</v>
      </c>
      <c r="E12" s="5" t="n">
        <f aca="false">COUNTA(Marah!$A$28:$A$33)</f>
        <v>6</v>
      </c>
      <c r="F12" s="7" t="n">
        <f aca="false">Marah!$C$34</f>
        <v>4595.5</v>
      </c>
      <c r="G12" s="7" t="n">
        <f aca="false">Marah!$E$34</f>
        <v>275.73</v>
      </c>
    </row>
    <row r="13" customFormat="false" ht="15" hidden="false" customHeight="false" outlineLevel="0" collapsed="false">
      <c r="A13" s="5" t="s">
        <v>20</v>
      </c>
      <c r="B13" s="5" t="s">
        <v>10</v>
      </c>
      <c r="C13" s="5" t="s">
        <v>11</v>
      </c>
      <c r="D13" s="6" t="n">
        <v>46023</v>
      </c>
      <c r="E13" s="5" t="n">
        <f aca="false">COUNTA(SONDOS!$A$27:$A$30)</f>
        <v>4</v>
      </c>
      <c r="F13" s="7" t="n">
        <f aca="false">SONDOS!$C$31</f>
        <v>421.9</v>
      </c>
      <c r="G13" s="7" t="n">
        <f aca="false">SONDOS!$E$31</f>
        <v>25.32</v>
      </c>
    </row>
    <row r="14" customFormat="false" ht="15" hidden="false" customHeight="false" outlineLevel="0" collapsed="false">
      <c r="A14" s="5" t="s">
        <v>21</v>
      </c>
      <c r="B14" s="5" t="s">
        <v>10</v>
      </c>
      <c r="C14" s="5" t="s">
        <v>13</v>
      </c>
      <c r="D14" s="6" t="n">
        <v>46054</v>
      </c>
      <c r="E14" s="5" t="n">
        <f aca="false">COUNTA(Marah!$A$37:$A$44)</f>
        <v>8</v>
      </c>
      <c r="F14" s="7" t="n">
        <f aca="false">Marah!$C$45</f>
        <v>2941.54</v>
      </c>
      <c r="G14" s="7" t="n">
        <f aca="false">Marah!$E$45</f>
        <v>176.49</v>
      </c>
    </row>
    <row r="15" customFormat="false" ht="15" hidden="false" customHeight="false" outlineLevel="0" collapsed="false">
      <c r="A15" s="5" t="s">
        <v>22</v>
      </c>
      <c r="B15" s="5" t="s">
        <v>10</v>
      </c>
      <c r="C15" s="5" t="s">
        <v>11</v>
      </c>
      <c r="D15" s="6" t="n">
        <v>46054</v>
      </c>
      <c r="E15" s="5" t="n">
        <f aca="false">COUNTA(SONDOS!$A$34:$A$38)</f>
        <v>5</v>
      </c>
      <c r="F15" s="7" t="n">
        <f aca="false">SONDOS!$C$39</f>
        <v>1566.1</v>
      </c>
      <c r="G15" s="7" t="n">
        <f aca="false">SONDOS!$E$39</f>
        <v>93.96</v>
      </c>
    </row>
    <row r="16" customFormat="false" ht="15" hidden="false" customHeight="false" outlineLevel="0" collapsed="false">
      <c r="A16" s="5" t="s">
        <v>23</v>
      </c>
      <c r="B16" s="5" t="s">
        <v>10</v>
      </c>
      <c r="C16" s="5" t="s">
        <v>13</v>
      </c>
      <c r="D16" s="6" t="n">
        <v>46082</v>
      </c>
      <c r="E16" s="5" t="n">
        <f aca="false">COUNTA(Marah!$A$48:$A$56)</f>
        <v>9</v>
      </c>
      <c r="F16" s="7" t="n">
        <f aca="false">Marah!$C$57</f>
        <v>1647.8</v>
      </c>
      <c r="G16" s="7" t="n">
        <f aca="false">Marah!$E$57</f>
        <v>98.86</v>
      </c>
    </row>
    <row r="17" customFormat="false" ht="15" hidden="false" customHeight="false" outlineLevel="0" collapsed="false">
      <c r="A17" s="5" t="s">
        <v>24</v>
      </c>
      <c r="B17" s="5" t="s">
        <v>10</v>
      </c>
      <c r="C17" s="5" t="s">
        <v>11</v>
      </c>
      <c r="D17" s="6" t="n">
        <v>46082</v>
      </c>
      <c r="E17" s="5" t="n">
        <f aca="false">COUNTA(SONDOS!$A$42:$A$48)</f>
        <v>7</v>
      </c>
      <c r="F17" s="7" t="n">
        <f aca="false">SONDOS!$C$49</f>
        <v>2351</v>
      </c>
      <c r="G17" s="7" t="n">
        <f aca="false">SONDOS!$E$49</f>
        <v>141.06</v>
      </c>
    </row>
    <row r="18" customFormat="false" ht="15" hidden="false" customHeight="false" outlineLevel="0" collapsed="false">
      <c r="A18" s="5" t="s">
        <v>25</v>
      </c>
      <c r="B18" s="5" t="s">
        <v>10</v>
      </c>
      <c r="C18" s="5" t="s">
        <v>13</v>
      </c>
      <c r="D18" s="6" t="n">
        <v>46113</v>
      </c>
      <c r="E18" s="5" t="n">
        <f aca="false">COUNTA(Marah!$A$60:$A$67)</f>
        <v>8</v>
      </c>
      <c r="F18" s="7" t="n">
        <f aca="false">Marah!$C$68</f>
        <v>9314.84</v>
      </c>
      <c r="G18" s="7" t="n">
        <f aca="false">Marah!$E$68</f>
        <v>558.88</v>
      </c>
    </row>
    <row r="19" customFormat="false" ht="15" hidden="false" customHeight="false" outlineLevel="0" collapsed="false">
      <c r="A19" s="5" t="s">
        <v>26</v>
      </c>
      <c r="B19" s="5" t="s">
        <v>10</v>
      </c>
      <c r="C19" s="5" t="s">
        <v>11</v>
      </c>
      <c r="D19" s="6" t="n">
        <v>46113</v>
      </c>
      <c r="E19" s="5" t="n">
        <f aca="false">COUNTA(SONDOS!$A$52:$A$55)</f>
        <v>4</v>
      </c>
      <c r="F19" s="7" t="n">
        <f aca="false">SONDOS!$C$56</f>
        <v>2428.4</v>
      </c>
      <c r="G19" s="7" t="n">
        <f aca="false">SONDOS!$E$56</f>
        <v>145.71</v>
      </c>
    </row>
    <row r="20" customFormat="false" ht="15" hidden="false" customHeight="false" outlineLevel="0" collapsed="false">
      <c r="A20" s="5" t="s">
        <v>27</v>
      </c>
      <c r="B20" s="5" t="s">
        <v>10</v>
      </c>
      <c r="C20" s="5" t="s">
        <v>13</v>
      </c>
      <c r="D20" s="6" t="n">
        <v>46143</v>
      </c>
      <c r="E20" s="5" t="n">
        <f aca="false">COUNTA(Marah!$A$71:$A$82)</f>
        <v>12</v>
      </c>
      <c r="F20" s="7" t="n">
        <f aca="false">Marah!$C$83</f>
        <v>6281.3</v>
      </c>
      <c r="G20" s="7" t="n">
        <f aca="false">Marah!$E$83</f>
        <v>376.86</v>
      </c>
    </row>
    <row r="21" customFormat="false" ht="15" hidden="false" customHeight="false" outlineLevel="0" collapsed="false">
      <c r="A21" s="5" t="s">
        <v>28</v>
      </c>
      <c r="B21" s="5" t="s">
        <v>10</v>
      </c>
      <c r="C21" s="5" t="s">
        <v>11</v>
      </c>
      <c r="D21" s="6" t="n">
        <v>46143</v>
      </c>
      <c r="E21" s="5" t="n">
        <f aca="false">COUNTA(SONDOS!$A$59:$A$63)</f>
        <v>5</v>
      </c>
      <c r="F21" s="7" t="n">
        <f aca="false">SONDOS!$C$64</f>
        <v>2325.6</v>
      </c>
      <c r="G21" s="7" t="n">
        <f aca="false">SONDOS!$E$64</f>
        <v>139.53</v>
      </c>
    </row>
    <row r="22" customFormat="false" ht="15" hidden="false" customHeight="false" outlineLevel="0" collapsed="false">
      <c r="A22" s="5" t="s">
        <v>29</v>
      </c>
      <c r="B22" s="5" t="s">
        <v>10</v>
      </c>
      <c r="C22" s="5" t="s">
        <v>13</v>
      </c>
      <c r="D22" s="6" t="n">
        <v>46174</v>
      </c>
      <c r="E22" s="5" t="n">
        <f aca="false">COUNTA(Marah!$A$86:$A$93)</f>
        <v>8</v>
      </c>
      <c r="F22" s="7" t="n">
        <f aca="false">Marah!$C$94</f>
        <v>2430.1</v>
      </c>
      <c r="G22" s="7" t="n">
        <f aca="false">Marah!$E$94</f>
        <v>145.79</v>
      </c>
    </row>
    <row r="23" customFormat="false" ht="15" hidden="false" customHeight="false" outlineLevel="0" collapsed="false">
      <c r="A23" s="5" t="s">
        <v>30</v>
      </c>
      <c r="B23" s="5" t="s">
        <v>10</v>
      </c>
      <c r="C23" s="5" t="s">
        <v>11</v>
      </c>
      <c r="D23" s="6" t="n">
        <v>46174</v>
      </c>
      <c r="E23" s="5" t="n">
        <f aca="false">COUNTA(SONDOS!$A$67:$A$72)</f>
        <v>6</v>
      </c>
      <c r="F23" s="7" t="n">
        <f aca="false">SONDOS!$C$73</f>
        <v>1751</v>
      </c>
      <c r="G23" s="7" t="n">
        <f aca="false">SONDOS!$E$73</f>
        <v>105.06</v>
      </c>
    </row>
    <row r="24" customFormat="false" ht="15" hidden="false" customHeight="false" outlineLevel="0" collapsed="false">
      <c r="A24" s="5" t="s">
        <v>31</v>
      </c>
      <c r="B24" s="5" t="s">
        <v>32</v>
      </c>
      <c r="C24" s="5" t="s">
        <v>32</v>
      </c>
      <c r="D24" s="6" t="n">
        <v>46174</v>
      </c>
      <c r="E24" s="5" t="n">
        <f aca="false">COUNTA('Wadi Halfa'!$A$6:$A$7)</f>
        <v>2</v>
      </c>
      <c r="F24" s="7" t="n">
        <f aca="false">'Wadi Halfa'!$C$8</f>
        <v>953.85</v>
      </c>
      <c r="G24" s="7" t="n">
        <f aca="false">'Wadi Halfa'!$E$8</f>
        <v>38.15</v>
      </c>
    </row>
    <row r="25" customFormat="false" ht="15" hidden="false" customHeight="false" outlineLevel="0" collapsed="false">
      <c r="A25" s="5" t="s">
        <v>33</v>
      </c>
      <c r="B25" s="5" t="s">
        <v>10</v>
      </c>
      <c r="C25" s="5" t="s">
        <v>13</v>
      </c>
      <c r="D25" s="6" t="n">
        <v>46204</v>
      </c>
      <c r="E25" s="5" t="n">
        <f aca="false">COUNTA(Marah!$A$97:$A$107)</f>
        <v>11</v>
      </c>
      <c r="F25" s="7" t="n">
        <f aca="false">Marah!$C$108</f>
        <v>5445.3</v>
      </c>
      <c r="G25" s="7" t="n">
        <f aca="false">Marah!$E$108</f>
        <v>326.71</v>
      </c>
    </row>
    <row r="26" customFormat="false" ht="15" hidden="false" customHeight="false" outlineLevel="0" collapsed="false">
      <c r="A26" s="5" t="s">
        <v>34</v>
      </c>
      <c r="B26" s="5" t="s">
        <v>10</v>
      </c>
      <c r="C26" s="5" t="s">
        <v>11</v>
      </c>
      <c r="D26" s="6" t="n">
        <v>46204</v>
      </c>
      <c r="E26" s="5" t="n">
        <f aca="false">COUNTA(SONDOS!$A$76:$A$80)</f>
        <v>5</v>
      </c>
      <c r="F26" s="7" t="n">
        <f aca="false">SONDOS!$C$81</f>
        <v>589.3</v>
      </c>
      <c r="G26" s="7" t="n">
        <f aca="false">SONDOS!$E$81</f>
        <v>35.35</v>
      </c>
    </row>
    <row r="27" customFormat="false" ht="15" hidden="false" customHeight="false" outlineLevel="0" collapsed="false">
      <c r="A27" s="5" t="s">
        <v>35</v>
      </c>
      <c r="B27" s="5" t="s">
        <v>32</v>
      </c>
      <c r="C27" s="5" t="s">
        <v>32</v>
      </c>
      <c r="D27" s="6" t="n">
        <v>46204</v>
      </c>
      <c r="E27" s="5" t="n">
        <f aca="false">COUNTA('Wadi Halfa'!$A$11:$A$15)</f>
        <v>5</v>
      </c>
      <c r="F27" s="7" t="n">
        <f aca="false">'Wadi Halfa'!$C$16</f>
        <v>3775.34</v>
      </c>
      <c r="G27" s="7" t="n">
        <f aca="false">'Wadi Halfa'!$E$16</f>
        <v>151.02</v>
      </c>
    </row>
    <row r="28" customFormat="false" ht="15" hidden="false" customHeight="false" outlineLevel="0" collapsed="false">
      <c r="A28" s="5" t="s">
        <v>36</v>
      </c>
      <c r="B28" s="5" t="s">
        <v>10</v>
      </c>
      <c r="C28" s="5" t="s">
        <v>13</v>
      </c>
      <c r="D28" s="6" t="n">
        <v>46235</v>
      </c>
      <c r="E28" s="5" t="n">
        <f aca="false">COUNTA(Marah!$A$111:$A$113)</f>
        <v>3</v>
      </c>
      <c r="F28" s="7" t="n">
        <f aca="false">Marah!$C$114</f>
        <v>930.8</v>
      </c>
      <c r="G28" s="7" t="n">
        <f aca="false">Marah!$E$114</f>
        <v>55.85</v>
      </c>
    </row>
    <row r="29" customFormat="false" ht="15" hidden="false" customHeight="false" outlineLevel="0" collapsed="false">
      <c r="A29" s="5" t="s">
        <v>37</v>
      </c>
      <c r="B29" s="5" t="s">
        <v>10</v>
      </c>
      <c r="C29" s="5" t="s">
        <v>11</v>
      </c>
      <c r="D29" s="6" t="n">
        <v>46235</v>
      </c>
      <c r="E29" s="5" t="n">
        <f aca="false">COUNTA(SONDOS!$A$84:$A$84)</f>
        <v>1</v>
      </c>
      <c r="F29" s="7" t="n">
        <f aca="false">SONDOS!$C$85</f>
        <v>244.8</v>
      </c>
      <c r="G29" s="7" t="n">
        <f aca="false">SONDOS!$E$85</f>
        <v>14.69</v>
      </c>
    </row>
    <row r="30" customFormat="false" ht="15" hidden="false" customHeight="false" outlineLevel="0" collapsed="false">
      <c r="A30" s="5" t="s">
        <v>38</v>
      </c>
      <c r="B30" s="5" t="s">
        <v>32</v>
      </c>
      <c r="C30" s="5" t="s">
        <v>32</v>
      </c>
      <c r="D30" s="6" t="n">
        <v>46235</v>
      </c>
      <c r="E30" s="5" t="n">
        <f aca="false">COUNTA('Wadi Halfa'!$A$19:$A$20)</f>
        <v>2</v>
      </c>
      <c r="F30" s="7" t="n">
        <f aca="false">'Wadi Halfa'!$C$21</f>
        <v>3223.77</v>
      </c>
      <c r="G30" s="7" t="n">
        <f aca="false">'Wadi Halfa'!$E$21</f>
        <v>128.95</v>
      </c>
    </row>
    <row r="31" customFormat="false" ht="15" hidden="false" customHeight="false" outlineLevel="0" collapsed="false">
      <c r="A31" s="8" t="s">
        <v>39</v>
      </c>
      <c r="B31" s="8"/>
      <c r="C31" s="8"/>
      <c r="D31" s="8"/>
      <c r="E31" s="9" t="n">
        <f aca="false">SUM(E5:E30)</f>
        <v>133</v>
      </c>
      <c r="F31" s="10" t="n">
        <f aca="false">SUM(F5:F30)</f>
        <v>64490.94</v>
      </c>
      <c r="G31" s="10" t="n">
        <f aca="false">SUM(G5:G30)</f>
        <v>3710.35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7"/>
  </cols>
  <sheetData>
    <row r="1" customFormat="false" ht="16.15" hidden="false" customHeight="false" outlineLevel="0" collapsed="false">
      <c r="A1" s="1" t="s">
        <v>40</v>
      </c>
    </row>
    <row r="2" customFormat="false" ht="15" hidden="false" customHeight="false" outlineLevel="0" collapsed="false">
      <c r="A2" s="2" t="s">
        <v>41</v>
      </c>
      <c r="B2" s="11" t="n">
        <v>0.06</v>
      </c>
      <c r="C2" s="12" t="s">
        <v>42</v>
      </c>
    </row>
    <row r="4" customFormat="false" ht="15" hidden="false" customHeight="false" outlineLevel="0" collapsed="false">
      <c r="A4" s="4" t="s">
        <v>43</v>
      </c>
      <c r="B4" s="4" t="s">
        <v>5</v>
      </c>
      <c r="C4" s="4" t="s">
        <v>7</v>
      </c>
      <c r="D4" s="4" t="s">
        <v>44</v>
      </c>
      <c r="E4" s="4" t="s">
        <v>45</v>
      </c>
    </row>
    <row r="5" customFormat="false" ht="15" hidden="false" customHeight="false" outlineLevel="0" collapsed="false">
      <c r="A5" s="13" t="s">
        <v>46</v>
      </c>
      <c r="B5" s="13"/>
      <c r="C5" s="13"/>
      <c r="D5" s="13"/>
      <c r="E5" s="13"/>
    </row>
    <row r="6" customFormat="false" ht="15" hidden="false" customHeight="false" outlineLevel="0" collapsed="false">
      <c r="A6" s="5" t="s">
        <v>47</v>
      </c>
      <c r="B6" s="6" t="n">
        <v>45931</v>
      </c>
      <c r="C6" s="7" t="n">
        <v>288</v>
      </c>
      <c r="D6" s="14" t="n">
        <f aca="false">$B$2</f>
        <v>0.06</v>
      </c>
      <c r="E6" s="7" t="n">
        <f aca="false">ROUND(C6*$B$2,2)</f>
        <v>17.28</v>
      </c>
    </row>
    <row r="7" customFormat="false" ht="15" hidden="false" customHeight="false" outlineLevel="0" collapsed="false">
      <c r="A7" s="5" t="s">
        <v>48</v>
      </c>
      <c r="B7" s="6" t="n">
        <v>45931</v>
      </c>
      <c r="C7" s="7" t="n">
        <v>110</v>
      </c>
      <c r="D7" s="14" t="n">
        <f aca="false">$B$2</f>
        <v>0.06</v>
      </c>
      <c r="E7" s="7" t="n">
        <f aca="false">ROUND(C7*$B$2,2)</f>
        <v>6.6</v>
      </c>
    </row>
    <row r="8" customFormat="false" ht="15" hidden="false" customHeight="false" outlineLevel="0" collapsed="false">
      <c r="A8" s="8" t="s">
        <v>49</v>
      </c>
      <c r="B8" s="8"/>
      <c r="C8" s="10" t="n">
        <f aca="false">SUM(C6:C7)</f>
        <v>398</v>
      </c>
      <c r="D8" s="8"/>
      <c r="E8" s="10" t="n">
        <f aca="false">SUM(E6:E7)</f>
        <v>23.88</v>
      </c>
    </row>
    <row r="10" customFormat="false" ht="15" hidden="false" customHeight="false" outlineLevel="0" collapsed="false">
      <c r="A10" s="13" t="s">
        <v>50</v>
      </c>
      <c r="B10" s="13"/>
      <c r="C10" s="13"/>
      <c r="D10" s="13"/>
      <c r="E10" s="13"/>
    </row>
    <row r="11" customFormat="false" ht="15" hidden="false" customHeight="false" outlineLevel="0" collapsed="false">
      <c r="A11" s="5" t="s">
        <v>51</v>
      </c>
      <c r="B11" s="6" t="n">
        <v>45962</v>
      </c>
      <c r="C11" s="7" t="n">
        <v>110.4</v>
      </c>
      <c r="D11" s="14" t="n">
        <f aca="false">$B$2</f>
        <v>0.06</v>
      </c>
      <c r="E11" s="7" t="n">
        <f aca="false">ROUND(C11*$B$2,2)</f>
        <v>6.62</v>
      </c>
    </row>
    <row r="12" customFormat="false" ht="15" hidden="false" customHeight="false" outlineLevel="0" collapsed="false">
      <c r="A12" s="5" t="s">
        <v>52</v>
      </c>
      <c r="B12" s="6" t="n">
        <v>45962</v>
      </c>
      <c r="C12" s="7" t="n">
        <v>244.8</v>
      </c>
      <c r="D12" s="14" t="n">
        <f aca="false">$B$2</f>
        <v>0.06</v>
      </c>
      <c r="E12" s="7" t="n">
        <f aca="false">ROUND(C12*$B$2,2)</f>
        <v>14.69</v>
      </c>
    </row>
    <row r="13" customFormat="false" ht="15" hidden="false" customHeight="false" outlineLevel="0" collapsed="false">
      <c r="A13" s="5" t="s">
        <v>53</v>
      </c>
      <c r="B13" s="6" t="n">
        <v>45962</v>
      </c>
      <c r="C13" s="7" t="n">
        <v>2003</v>
      </c>
      <c r="D13" s="14" t="n">
        <f aca="false">$B$2</f>
        <v>0.06</v>
      </c>
      <c r="E13" s="7" t="n">
        <f aca="false">ROUND(C13*$B$2,2)</f>
        <v>120.18</v>
      </c>
    </row>
    <row r="14" customFormat="false" ht="15" hidden="false" customHeight="false" outlineLevel="0" collapsed="false">
      <c r="A14" s="8" t="s">
        <v>49</v>
      </c>
      <c r="B14" s="8"/>
      <c r="C14" s="10" t="n">
        <f aca="false">SUM(C11:C13)</f>
        <v>2358.2</v>
      </c>
      <c r="D14" s="8"/>
      <c r="E14" s="10" t="n">
        <f aca="false">SUM(E11:E13)</f>
        <v>141.49</v>
      </c>
    </row>
    <row r="16" customFormat="false" ht="15" hidden="false" customHeight="false" outlineLevel="0" collapsed="false">
      <c r="A16" s="13" t="s">
        <v>54</v>
      </c>
      <c r="B16" s="13"/>
      <c r="C16" s="13"/>
      <c r="D16" s="13"/>
      <c r="E16" s="13"/>
    </row>
    <row r="17" customFormat="false" ht="15" hidden="false" customHeight="false" outlineLevel="0" collapsed="false">
      <c r="A17" s="5" t="s">
        <v>55</v>
      </c>
      <c r="B17" s="6" t="n">
        <v>45992</v>
      </c>
      <c r="C17" s="7" t="n">
        <v>220.8</v>
      </c>
      <c r="D17" s="14" t="n">
        <f aca="false">$B$2</f>
        <v>0.06</v>
      </c>
      <c r="E17" s="7" t="n">
        <f aca="false">ROUND(C17*$B$2,2)</f>
        <v>13.25</v>
      </c>
    </row>
    <row r="18" customFormat="false" ht="15" hidden="false" customHeight="false" outlineLevel="0" collapsed="false">
      <c r="A18" s="5" t="s">
        <v>56</v>
      </c>
      <c r="B18" s="6" t="n">
        <v>45992</v>
      </c>
      <c r="C18" s="7" t="n">
        <v>136.8</v>
      </c>
      <c r="D18" s="14" t="n">
        <f aca="false">$B$2</f>
        <v>0.06</v>
      </c>
      <c r="E18" s="7" t="n">
        <f aca="false">ROUND(C18*$B$2,2)</f>
        <v>8.21</v>
      </c>
    </row>
    <row r="19" customFormat="false" ht="15" hidden="false" customHeight="false" outlineLevel="0" collapsed="false">
      <c r="A19" s="5" t="s">
        <v>57</v>
      </c>
      <c r="B19" s="6" t="n">
        <v>45992</v>
      </c>
      <c r="C19" s="7" t="n">
        <v>143</v>
      </c>
      <c r="D19" s="14" t="n">
        <f aca="false">$B$2</f>
        <v>0.06</v>
      </c>
      <c r="E19" s="7" t="n">
        <f aca="false">ROUND(C19*$B$2,2)</f>
        <v>8.58</v>
      </c>
    </row>
    <row r="20" customFormat="false" ht="15" hidden="false" customHeight="false" outlineLevel="0" collapsed="false">
      <c r="A20" s="5" t="s">
        <v>58</v>
      </c>
      <c r="B20" s="6" t="n">
        <v>45992</v>
      </c>
      <c r="C20" s="7" t="n">
        <v>333.5</v>
      </c>
      <c r="D20" s="14" t="n">
        <f aca="false">$B$2</f>
        <v>0.06</v>
      </c>
      <c r="E20" s="7" t="n">
        <f aca="false">ROUND(C20*$B$2,2)</f>
        <v>20.01</v>
      </c>
    </row>
    <row r="21" customFormat="false" ht="15" hidden="false" customHeight="false" outlineLevel="0" collapsed="false">
      <c r="A21" s="5" t="s">
        <v>59</v>
      </c>
      <c r="B21" s="6" t="n">
        <v>45992</v>
      </c>
      <c r="C21" s="7" t="n">
        <v>349.2</v>
      </c>
      <c r="D21" s="14" t="n">
        <f aca="false">$B$2</f>
        <v>0.06</v>
      </c>
      <c r="E21" s="7" t="n">
        <f aca="false">ROUND(C21*$B$2,2)</f>
        <v>20.95</v>
      </c>
    </row>
    <row r="22" customFormat="false" ht="15" hidden="false" customHeight="false" outlineLevel="0" collapsed="false">
      <c r="A22" s="5" t="s">
        <v>60</v>
      </c>
      <c r="B22" s="6" t="n">
        <v>45992</v>
      </c>
      <c r="C22" s="7" t="n">
        <v>609.6</v>
      </c>
      <c r="D22" s="14" t="n">
        <f aca="false">$B$2</f>
        <v>0.06</v>
      </c>
      <c r="E22" s="7" t="n">
        <f aca="false">ROUND(C22*$B$2,2)</f>
        <v>36.58</v>
      </c>
    </row>
    <row r="23" customFormat="false" ht="15" hidden="false" customHeight="false" outlineLevel="0" collapsed="false">
      <c r="A23" s="5" t="s">
        <v>61</v>
      </c>
      <c r="B23" s="6" t="n">
        <v>45992</v>
      </c>
      <c r="C23" s="7" t="n">
        <v>73.2</v>
      </c>
      <c r="D23" s="14" t="n">
        <f aca="false">$B$2</f>
        <v>0.06</v>
      </c>
      <c r="E23" s="7" t="n">
        <f aca="false">ROUND(C23*$B$2,2)</f>
        <v>4.39</v>
      </c>
    </row>
    <row r="24" customFormat="false" ht="15" hidden="false" customHeight="false" outlineLevel="0" collapsed="false">
      <c r="A24" s="5" t="s">
        <v>62</v>
      </c>
      <c r="B24" s="6" t="n">
        <v>45992</v>
      </c>
      <c r="C24" s="7" t="n">
        <v>219.6</v>
      </c>
      <c r="D24" s="14" t="n">
        <f aca="false">$B$2</f>
        <v>0.06</v>
      </c>
      <c r="E24" s="7" t="n">
        <f aca="false">ROUND(C24*$B$2,2)</f>
        <v>13.18</v>
      </c>
    </row>
    <row r="25" customFormat="false" ht="15" hidden="false" customHeight="false" outlineLevel="0" collapsed="false">
      <c r="A25" s="8" t="s">
        <v>49</v>
      </c>
      <c r="B25" s="8"/>
      <c r="C25" s="10" t="n">
        <f aca="false">SUM(C17:C24)</f>
        <v>2085.7</v>
      </c>
      <c r="D25" s="8"/>
      <c r="E25" s="10" t="n">
        <f aca="false">SUM(E17:E24)</f>
        <v>125.15</v>
      </c>
    </row>
    <row r="27" customFormat="false" ht="15" hidden="false" customHeight="false" outlineLevel="0" collapsed="false">
      <c r="A27" s="13" t="s">
        <v>63</v>
      </c>
      <c r="B27" s="13"/>
      <c r="C27" s="13"/>
      <c r="D27" s="13"/>
      <c r="E27" s="13"/>
    </row>
    <row r="28" customFormat="false" ht="15" hidden="false" customHeight="false" outlineLevel="0" collapsed="false">
      <c r="A28" s="5" t="s">
        <v>64</v>
      </c>
      <c r="B28" s="6" t="n">
        <v>46023</v>
      </c>
      <c r="C28" s="7" t="n">
        <v>73.2</v>
      </c>
      <c r="D28" s="14" t="n">
        <f aca="false">$B$2</f>
        <v>0.06</v>
      </c>
      <c r="E28" s="7" t="n">
        <f aca="false">ROUND(C28*$B$2,2)</f>
        <v>4.39</v>
      </c>
    </row>
    <row r="29" customFormat="false" ht="15" hidden="false" customHeight="false" outlineLevel="0" collapsed="false">
      <c r="A29" s="5" t="s">
        <v>65</v>
      </c>
      <c r="B29" s="6" t="n">
        <v>46023</v>
      </c>
      <c r="C29" s="7" t="n">
        <v>1209.6</v>
      </c>
      <c r="D29" s="14" t="n">
        <f aca="false">$B$2</f>
        <v>0.06</v>
      </c>
      <c r="E29" s="7" t="n">
        <f aca="false">ROUND(C29*$B$2,2)</f>
        <v>72.58</v>
      </c>
    </row>
    <row r="30" customFormat="false" ht="15" hidden="false" customHeight="false" outlineLevel="0" collapsed="false">
      <c r="A30" s="5" t="s">
        <v>66</v>
      </c>
      <c r="B30" s="6" t="n">
        <v>46023</v>
      </c>
      <c r="C30" s="7" t="n">
        <v>1888.2</v>
      </c>
      <c r="D30" s="14" t="n">
        <f aca="false">$B$2</f>
        <v>0.06</v>
      </c>
      <c r="E30" s="7" t="n">
        <f aca="false">ROUND(C30*$B$2,2)</f>
        <v>113.29</v>
      </c>
    </row>
    <row r="31" customFormat="false" ht="15" hidden="false" customHeight="false" outlineLevel="0" collapsed="false">
      <c r="A31" s="5" t="s">
        <v>67</v>
      </c>
      <c r="B31" s="6" t="n">
        <v>46023</v>
      </c>
      <c r="C31" s="7" t="n">
        <v>379.5</v>
      </c>
      <c r="D31" s="14" t="n">
        <f aca="false">$B$2</f>
        <v>0.06</v>
      </c>
      <c r="E31" s="7" t="n">
        <f aca="false">ROUND(C31*$B$2,2)</f>
        <v>22.77</v>
      </c>
    </row>
    <row r="32" customFormat="false" ht="15" hidden="false" customHeight="false" outlineLevel="0" collapsed="false">
      <c r="A32" s="5" t="s">
        <v>68</v>
      </c>
      <c r="B32" s="6" t="n">
        <v>46023</v>
      </c>
      <c r="C32" s="7" t="n">
        <v>990</v>
      </c>
      <c r="D32" s="14" t="n">
        <f aca="false">$B$2</f>
        <v>0.06</v>
      </c>
      <c r="E32" s="7" t="n">
        <f aca="false">ROUND(C32*$B$2,2)</f>
        <v>59.4</v>
      </c>
    </row>
    <row r="33" customFormat="false" ht="15" hidden="false" customHeight="false" outlineLevel="0" collapsed="false">
      <c r="A33" s="5" t="s">
        <v>69</v>
      </c>
      <c r="B33" s="6" t="n">
        <v>46023</v>
      </c>
      <c r="C33" s="7" t="n">
        <v>55</v>
      </c>
      <c r="D33" s="14" t="n">
        <f aca="false">$B$2</f>
        <v>0.06</v>
      </c>
      <c r="E33" s="7" t="n">
        <f aca="false">ROUND(C33*$B$2,2)</f>
        <v>3.3</v>
      </c>
    </row>
    <row r="34" customFormat="false" ht="15" hidden="false" customHeight="false" outlineLevel="0" collapsed="false">
      <c r="A34" s="8" t="s">
        <v>49</v>
      </c>
      <c r="B34" s="8"/>
      <c r="C34" s="10" t="n">
        <f aca="false">SUM(C28:C33)</f>
        <v>4595.5</v>
      </c>
      <c r="D34" s="8"/>
      <c r="E34" s="10" t="n">
        <f aca="false">SUM(E28:E33)</f>
        <v>275.73</v>
      </c>
    </row>
    <row r="36" customFormat="false" ht="15" hidden="false" customHeight="false" outlineLevel="0" collapsed="false">
      <c r="A36" s="13" t="s">
        <v>70</v>
      </c>
      <c r="B36" s="13"/>
      <c r="C36" s="13"/>
      <c r="D36" s="13"/>
      <c r="E36" s="13"/>
    </row>
    <row r="37" customFormat="false" ht="15" hidden="false" customHeight="false" outlineLevel="0" collapsed="false">
      <c r="A37" s="5" t="s">
        <v>71</v>
      </c>
      <c r="B37" s="6" t="n">
        <v>46054</v>
      </c>
      <c r="C37" s="7" t="n">
        <v>218.4</v>
      </c>
      <c r="D37" s="14" t="n">
        <f aca="false">$B$2</f>
        <v>0.06</v>
      </c>
      <c r="E37" s="7" t="n">
        <f aca="false">ROUND(C37*$B$2,2)</f>
        <v>13.1</v>
      </c>
    </row>
    <row r="38" customFormat="false" ht="15" hidden="false" customHeight="false" outlineLevel="0" collapsed="false">
      <c r="A38" s="5" t="s">
        <v>72</v>
      </c>
      <c r="B38" s="6" t="n">
        <v>46054</v>
      </c>
      <c r="C38" s="7" t="n">
        <v>55.2</v>
      </c>
      <c r="D38" s="14" t="n">
        <f aca="false">$B$2</f>
        <v>0.06</v>
      </c>
      <c r="E38" s="7" t="n">
        <f aca="false">ROUND(C38*$B$2,2)</f>
        <v>3.31</v>
      </c>
    </row>
    <row r="39" customFormat="false" ht="15" hidden="false" customHeight="false" outlineLevel="0" collapsed="false">
      <c r="A39" s="5" t="s">
        <v>73</v>
      </c>
      <c r="B39" s="6" t="n">
        <v>46054</v>
      </c>
      <c r="C39" s="7" t="n">
        <v>1120.82</v>
      </c>
      <c r="D39" s="14" t="n">
        <f aca="false">$B$2</f>
        <v>0.06</v>
      </c>
      <c r="E39" s="7" t="n">
        <f aca="false">ROUND(C39*$B$2,2)</f>
        <v>67.25</v>
      </c>
    </row>
    <row r="40" customFormat="false" ht="15" hidden="false" customHeight="false" outlineLevel="0" collapsed="false">
      <c r="A40" s="5" t="s">
        <v>74</v>
      </c>
      <c r="B40" s="6" t="n">
        <v>46054</v>
      </c>
      <c r="C40" s="7" t="n">
        <v>386.4</v>
      </c>
      <c r="D40" s="14" t="n">
        <f aca="false">$B$2</f>
        <v>0.06</v>
      </c>
      <c r="E40" s="7" t="n">
        <f aca="false">ROUND(C40*$B$2,2)</f>
        <v>23.18</v>
      </c>
    </row>
    <row r="41" customFormat="false" ht="15" hidden="false" customHeight="false" outlineLevel="0" collapsed="false">
      <c r="A41" s="5" t="s">
        <v>75</v>
      </c>
      <c r="B41" s="6" t="n">
        <v>46054</v>
      </c>
      <c r="C41" s="7" t="n">
        <v>55</v>
      </c>
      <c r="D41" s="14" t="n">
        <f aca="false">$B$2</f>
        <v>0.06</v>
      </c>
      <c r="E41" s="7" t="n">
        <f aca="false">ROUND(C41*$B$2,2)</f>
        <v>3.3</v>
      </c>
    </row>
    <row r="42" customFormat="false" ht="15" hidden="false" customHeight="false" outlineLevel="0" collapsed="false">
      <c r="A42" s="5" t="s">
        <v>76</v>
      </c>
      <c r="B42" s="6" t="n">
        <v>46054</v>
      </c>
      <c r="C42" s="7" t="n">
        <v>794.92</v>
      </c>
      <c r="D42" s="14" t="n">
        <f aca="false">$B$2</f>
        <v>0.06</v>
      </c>
      <c r="E42" s="7" t="n">
        <f aca="false">ROUND(C42*$B$2,2)</f>
        <v>47.7</v>
      </c>
    </row>
    <row r="43" customFormat="false" ht="15" hidden="false" customHeight="false" outlineLevel="0" collapsed="false">
      <c r="A43" s="5" t="s">
        <v>77</v>
      </c>
      <c r="B43" s="6" t="n">
        <v>46054</v>
      </c>
      <c r="C43" s="7" t="n">
        <v>219.6</v>
      </c>
      <c r="D43" s="14" t="n">
        <f aca="false">$B$2</f>
        <v>0.06</v>
      </c>
      <c r="E43" s="7" t="n">
        <f aca="false">ROUND(C43*$B$2,2)</f>
        <v>13.18</v>
      </c>
    </row>
    <row r="44" customFormat="false" ht="15" hidden="false" customHeight="false" outlineLevel="0" collapsed="false">
      <c r="A44" s="5" t="s">
        <v>78</v>
      </c>
      <c r="B44" s="6" t="n">
        <v>46054</v>
      </c>
      <c r="C44" s="7" t="n">
        <v>91.2</v>
      </c>
      <c r="D44" s="14" t="n">
        <f aca="false">$B$2</f>
        <v>0.06</v>
      </c>
      <c r="E44" s="7" t="n">
        <f aca="false">ROUND(C44*$B$2,2)</f>
        <v>5.47</v>
      </c>
    </row>
    <row r="45" customFormat="false" ht="15" hidden="false" customHeight="false" outlineLevel="0" collapsed="false">
      <c r="A45" s="8" t="s">
        <v>49</v>
      </c>
      <c r="B45" s="8"/>
      <c r="C45" s="10" t="n">
        <f aca="false">SUM(C37:C44)</f>
        <v>2941.54</v>
      </c>
      <c r="D45" s="8"/>
      <c r="E45" s="10" t="n">
        <f aca="false">SUM(E37:E44)</f>
        <v>176.49</v>
      </c>
    </row>
    <row r="47" customFormat="false" ht="15" hidden="false" customHeight="false" outlineLevel="0" collapsed="false">
      <c r="A47" s="13" t="s">
        <v>79</v>
      </c>
      <c r="B47" s="13"/>
      <c r="C47" s="13"/>
      <c r="D47" s="13"/>
      <c r="E47" s="13"/>
    </row>
    <row r="48" customFormat="false" ht="15" hidden="false" customHeight="false" outlineLevel="0" collapsed="false">
      <c r="A48" s="5" t="s">
        <v>80</v>
      </c>
      <c r="B48" s="6" t="n">
        <v>46082</v>
      </c>
      <c r="C48" s="7" t="n">
        <v>72</v>
      </c>
      <c r="D48" s="14" t="n">
        <f aca="false">$B$2</f>
        <v>0.06</v>
      </c>
      <c r="E48" s="7" t="n">
        <f aca="false">ROUND(C48*$B$2,2)</f>
        <v>4.32</v>
      </c>
    </row>
    <row r="49" customFormat="false" ht="15" hidden="false" customHeight="false" outlineLevel="0" collapsed="false">
      <c r="A49" s="5" t="s">
        <v>81</v>
      </c>
      <c r="B49" s="6" t="n">
        <v>46082</v>
      </c>
      <c r="C49" s="7" t="n">
        <v>36</v>
      </c>
      <c r="D49" s="14" t="n">
        <f aca="false">$B$2</f>
        <v>0.06</v>
      </c>
      <c r="E49" s="7" t="n">
        <f aca="false">ROUND(C49*$B$2,2)</f>
        <v>2.16</v>
      </c>
    </row>
    <row r="50" customFormat="false" ht="15" hidden="false" customHeight="false" outlineLevel="0" collapsed="false">
      <c r="A50" s="5" t="s">
        <v>82</v>
      </c>
      <c r="B50" s="6" t="n">
        <v>46082</v>
      </c>
      <c r="C50" s="7" t="n">
        <v>181.2</v>
      </c>
      <c r="D50" s="14" t="n">
        <f aca="false">$B$2</f>
        <v>0.06</v>
      </c>
      <c r="E50" s="7" t="n">
        <f aca="false">ROUND(C50*$B$2,2)</f>
        <v>10.87</v>
      </c>
    </row>
    <row r="51" customFormat="false" ht="15" hidden="false" customHeight="false" outlineLevel="0" collapsed="false">
      <c r="A51" s="5" t="s">
        <v>83</v>
      </c>
      <c r="B51" s="6" t="n">
        <v>46082</v>
      </c>
      <c r="C51" s="7" t="n">
        <v>182.4</v>
      </c>
      <c r="D51" s="14" t="n">
        <f aca="false">$B$2</f>
        <v>0.06</v>
      </c>
      <c r="E51" s="7" t="n">
        <f aca="false">ROUND(C51*$B$2,2)</f>
        <v>10.94</v>
      </c>
    </row>
    <row r="52" customFormat="false" ht="15" hidden="false" customHeight="false" outlineLevel="0" collapsed="false">
      <c r="A52" s="5" t="s">
        <v>84</v>
      </c>
      <c r="B52" s="6" t="n">
        <v>46082</v>
      </c>
      <c r="C52" s="7" t="n">
        <v>364.8</v>
      </c>
      <c r="D52" s="14" t="n">
        <f aca="false">$B$2</f>
        <v>0.06</v>
      </c>
      <c r="E52" s="7" t="n">
        <f aca="false">ROUND(C52*$B$2,2)</f>
        <v>21.89</v>
      </c>
    </row>
    <row r="53" customFormat="false" ht="15" hidden="false" customHeight="false" outlineLevel="0" collapsed="false">
      <c r="A53" s="5" t="s">
        <v>85</v>
      </c>
      <c r="B53" s="6" t="n">
        <v>46082</v>
      </c>
      <c r="C53" s="7" t="n">
        <v>23.4</v>
      </c>
      <c r="D53" s="14" t="n">
        <f aca="false">$B$2</f>
        <v>0.06</v>
      </c>
      <c r="E53" s="7" t="n">
        <f aca="false">ROUND(C53*$B$2,2)</f>
        <v>1.4</v>
      </c>
    </row>
    <row r="54" customFormat="false" ht="15" hidden="false" customHeight="false" outlineLevel="0" collapsed="false">
      <c r="A54" s="5" t="s">
        <v>86</v>
      </c>
      <c r="B54" s="6" t="n">
        <v>46082</v>
      </c>
      <c r="C54" s="7" t="n">
        <v>110</v>
      </c>
      <c r="D54" s="14" t="n">
        <f aca="false">$B$2</f>
        <v>0.06</v>
      </c>
      <c r="E54" s="7" t="n">
        <f aca="false">ROUND(C54*$B$2,2)</f>
        <v>6.6</v>
      </c>
    </row>
    <row r="55" customFormat="false" ht="15" hidden="false" customHeight="false" outlineLevel="0" collapsed="false">
      <c r="A55" s="5" t="s">
        <v>87</v>
      </c>
      <c r="B55" s="6" t="n">
        <v>46082</v>
      </c>
      <c r="C55" s="7" t="n">
        <v>183</v>
      </c>
      <c r="D55" s="14" t="n">
        <f aca="false">$B$2</f>
        <v>0.06</v>
      </c>
      <c r="E55" s="7" t="n">
        <f aca="false">ROUND(C55*$B$2,2)</f>
        <v>10.98</v>
      </c>
    </row>
    <row r="56" customFormat="false" ht="15" hidden="false" customHeight="false" outlineLevel="0" collapsed="false">
      <c r="A56" s="5" t="s">
        <v>88</v>
      </c>
      <c r="B56" s="6" t="n">
        <v>46082</v>
      </c>
      <c r="C56" s="7" t="n">
        <v>495</v>
      </c>
      <c r="D56" s="14" t="n">
        <f aca="false">$B$2</f>
        <v>0.06</v>
      </c>
      <c r="E56" s="7" t="n">
        <f aca="false">ROUND(C56*$B$2,2)</f>
        <v>29.7</v>
      </c>
    </row>
    <row r="57" customFormat="false" ht="15" hidden="false" customHeight="false" outlineLevel="0" collapsed="false">
      <c r="A57" s="8" t="s">
        <v>49</v>
      </c>
      <c r="B57" s="8"/>
      <c r="C57" s="10" t="n">
        <f aca="false">SUM(C48:C56)</f>
        <v>1647.8</v>
      </c>
      <c r="D57" s="8"/>
      <c r="E57" s="10" t="n">
        <f aca="false">SUM(E48:E56)</f>
        <v>98.86</v>
      </c>
    </row>
    <row r="59" customFormat="false" ht="15" hidden="false" customHeight="false" outlineLevel="0" collapsed="false">
      <c r="A59" s="13" t="s">
        <v>89</v>
      </c>
      <c r="B59" s="13"/>
      <c r="C59" s="13"/>
      <c r="D59" s="13"/>
      <c r="E59" s="13"/>
    </row>
    <row r="60" customFormat="false" ht="15" hidden="false" customHeight="false" outlineLevel="0" collapsed="false">
      <c r="A60" s="5" t="s">
        <v>90</v>
      </c>
      <c r="B60" s="6" t="n">
        <v>46113</v>
      </c>
      <c r="C60" s="7" t="n">
        <v>990</v>
      </c>
      <c r="D60" s="14" t="n">
        <f aca="false">$B$2</f>
        <v>0.06</v>
      </c>
      <c r="E60" s="7" t="n">
        <f aca="false">ROUND(C60*$B$2,2)</f>
        <v>59.4</v>
      </c>
    </row>
    <row r="61" customFormat="false" ht="15" hidden="false" customHeight="false" outlineLevel="0" collapsed="false">
      <c r="A61" s="5" t="s">
        <v>91</v>
      </c>
      <c r="B61" s="6" t="n">
        <v>46113</v>
      </c>
      <c r="C61" s="7" t="n">
        <v>1833.72</v>
      </c>
      <c r="D61" s="14" t="n">
        <f aca="false">$B$2</f>
        <v>0.06</v>
      </c>
      <c r="E61" s="7" t="n">
        <f aca="false">ROUND(C61*$B$2,2)</f>
        <v>110.02</v>
      </c>
    </row>
    <row r="62" customFormat="false" ht="15" hidden="false" customHeight="false" outlineLevel="0" collapsed="false">
      <c r="A62" s="5" t="s">
        <v>92</v>
      </c>
      <c r="B62" s="6" t="n">
        <v>46113</v>
      </c>
      <c r="C62" s="7" t="n">
        <v>1540</v>
      </c>
      <c r="D62" s="14" t="n">
        <f aca="false">$B$2</f>
        <v>0.06</v>
      </c>
      <c r="E62" s="7" t="n">
        <f aca="false">ROUND(C62*$B$2,2)</f>
        <v>92.4</v>
      </c>
    </row>
    <row r="63" customFormat="false" ht="15" hidden="false" customHeight="false" outlineLevel="0" collapsed="false">
      <c r="A63" s="5" t="s">
        <v>93</v>
      </c>
      <c r="B63" s="6" t="n">
        <v>46113</v>
      </c>
      <c r="C63" s="7" t="n">
        <v>2605</v>
      </c>
      <c r="D63" s="14" t="n">
        <f aca="false">$B$2</f>
        <v>0.06</v>
      </c>
      <c r="E63" s="7" t="n">
        <f aca="false">ROUND(C63*$B$2,2)</f>
        <v>156.3</v>
      </c>
    </row>
    <row r="64" customFormat="false" ht="15" hidden="false" customHeight="false" outlineLevel="0" collapsed="false">
      <c r="A64" s="5" t="s">
        <v>94</v>
      </c>
      <c r="B64" s="6" t="n">
        <v>46113</v>
      </c>
      <c r="C64" s="7" t="n">
        <v>382.7</v>
      </c>
      <c r="D64" s="14" t="n">
        <f aca="false">$B$2</f>
        <v>0.06</v>
      </c>
      <c r="E64" s="7" t="n">
        <f aca="false">ROUND(C64*$B$2,2)</f>
        <v>22.96</v>
      </c>
    </row>
    <row r="65" customFormat="false" ht="15" hidden="false" customHeight="false" outlineLevel="0" collapsed="false">
      <c r="A65" s="5" t="s">
        <v>95</v>
      </c>
      <c r="B65" s="6" t="n">
        <v>46113</v>
      </c>
      <c r="C65" s="7" t="n">
        <v>1552.32</v>
      </c>
      <c r="D65" s="14" t="n">
        <f aca="false">$B$2</f>
        <v>0.06</v>
      </c>
      <c r="E65" s="7" t="n">
        <f aca="false">ROUND(C65*$B$2,2)</f>
        <v>93.14</v>
      </c>
    </row>
    <row r="66" customFormat="false" ht="15" hidden="false" customHeight="false" outlineLevel="0" collapsed="false">
      <c r="A66" s="5" t="s">
        <v>96</v>
      </c>
      <c r="B66" s="6" t="n">
        <v>46113</v>
      </c>
      <c r="C66" s="7" t="n">
        <v>173.7</v>
      </c>
      <c r="D66" s="14" t="n">
        <f aca="false">$B$2</f>
        <v>0.06</v>
      </c>
      <c r="E66" s="7" t="n">
        <f aca="false">ROUND(C66*$B$2,2)</f>
        <v>10.42</v>
      </c>
    </row>
    <row r="67" customFormat="false" ht="15" hidden="false" customHeight="false" outlineLevel="0" collapsed="false">
      <c r="A67" s="5" t="s">
        <v>97</v>
      </c>
      <c r="B67" s="6" t="n">
        <v>46113</v>
      </c>
      <c r="C67" s="7" t="n">
        <v>237.4</v>
      </c>
      <c r="D67" s="14" t="n">
        <f aca="false">$B$2</f>
        <v>0.06</v>
      </c>
      <c r="E67" s="7" t="n">
        <f aca="false">ROUND(C67*$B$2,2)</f>
        <v>14.24</v>
      </c>
    </row>
    <row r="68" customFormat="false" ht="15" hidden="false" customHeight="false" outlineLevel="0" collapsed="false">
      <c r="A68" s="8" t="s">
        <v>49</v>
      </c>
      <c r="B68" s="8"/>
      <c r="C68" s="10" t="n">
        <f aca="false">SUM(C60:C67)</f>
        <v>9314.84</v>
      </c>
      <c r="D68" s="8"/>
      <c r="E68" s="10" t="n">
        <f aca="false">SUM(E60:E67)</f>
        <v>558.88</v>
      </c>
    </row>
    <row r="70" customFormat="false" ht="15" hidden="false" customHeight="false" outlineLevel="0" collapsed="false">
      <c r="A70" s="13" t="s">
        <v>98</v>
      </c>
      <c r="B70" s="13"/>
      <c r="C70" s="13"/>
      <c r="D70" s="13"/>
      <c r="E70" s="13"/>
    </row>
    <row r="71" customFormat="false" ht="15" hidden="false" customHeight="false" outlineLevel="0" collapsed="false">
      <c r="A71" s="5" t="s">
        <v>99</v>
      </c>
      <c r="B71" s="6" t="n">
        <v>46143</v>
      </c>
      <c r="C71" s="7" t="n">
        <v>758.4</v>
      </c>
      <c r="D71" s="14" t="n">
        <f aca="false">$B$2</f>
        <v>0.06</v>
      </c>
      <c r="E71" s="7" t="n">
        <f aca="false">ROUND(C71*$B$2,2)</f>
        <v>45.5</v>
      </c>
    </row>
    <row r="72" customFormat="false" ht="15" hidden="false" customHeight="false" outlineLevel="0" collapsed="false">
      <c r="A72" s="5" t="s">
        <v>100</v>
      </c>
      <c r="B72" s="6" t="n">
        <v>46143</v>
      </c>
      <c r="C72" s="7" t="n">
        <v>758.4</v>
      </c>
      <c r="D72" s="14" t="n">
        <f aca="false">$B$2</f>
        <v>0.06</v>
      </c>
      <c r="E72" s="7" t="n">
        <f aca="false">ROUND(C72*$B$2,2)</f>
        <v>45.5</v>
      </c>
    </row>
    <row r="73" customFormat="false" ht="15" hidden="false" customHeight="false" outlineLevel="0" collapsed="false">
      <c r="A73" s="5" t="s">
        <v>101</v>
      </c>
      <c r="B73" s="6" t="n">
        <v>46143</v>
      </c>
      <c r="C73" s="7" t="n">
        <v>182.4</v>
      </c>
      <c r="D73" s="14" t="n">
        <f aca="false">$B$2</f>
        <v>0.06</v>
      </c>
      <c r="E73" s="7" t="n">
        <f aca="false">ROUND(C73*$B$2,2)</f>
        <v>10.94</v>
      </c>
    </row>
    <row r="74" customFormat="false" ht="15" hidden="false" customHeight="false" outlineLevel="0" collapsed="false">
      <c r="A74" s="5" t="s">
        <v>102</v>
      </c>
      <c r="B74" s="6" t="n">
        <v>46143</v>
      </c>
      <c r="C74" s="7" t="n">
        <v>364.8</v>
      </c>
      <c r="D74" s="14" t="n">
        <f aca="false">$B$2</f>
        <v>0.06</v>
      </c>
      <c r="E74" s="7" t="n">
        <f aca="false">ROUND(C74*$B$2,2)</f>
        <v>21.89</v>
      </c>
    </row>
    <row r="75" customFormat="false" ht="15" hidden="false" customHeight="false" outlineLevel="0" collapsed="false">
      <c r="A75" s="5" t="s">
        <v>103</v>
      </c>
      <c r="B75" s="6" t="n">
        <v>46143</v>
      </c>
      <c r="C75" s="7" t="n">
        <v>65.1</v>
      </c>
      <c r="D75" s="14" t="n">
        <f aca="false">$B$2</f>
        <v>0.06</v>
      </c>
      <c r="E75" s="7" t="n">
        <f aca="false">ROUND(C75*$B$2,2)</f>
        <v>3.91</v>
      </c>
    </row>
    <row r="76" customFormat="false" ht="15" hidden="false" customHeight="false" outlineLevel="0" collapsed="false">
      <c r="A76" s="5" t="s">
        <v>104</v>
      </c>
      <c r="B76" s="6" t="n">
        <v>46143</v>
      </c>
      <c r="C76" s="7" t="n">
        <v>1287</v>
      </c>
      <c r="D76" s="14" t="n">
        <f aca="false">$B$2</f>
        <v>0.06</v>
      </c>
      <c r="E76" s="7" t="n">
        <f aca="false">ROUND(C76*$B$2,2)</f>
        <v>77.22</v>
      </c>
    </row>
    <row r="77" customFormat="false" ht="15" hidden="false" customHeight="false" outlineLevel="0" collapsed="false">
      <c r="A77" s="5" t="s">
        <v>105</v>
      </c>
      <c r="B77" s="6" t="n">
        <v>46143</v>
      </c>
      <c r="C77" s="7" t="n">
        <v>1540</v>
      </c>
      <c r="D77" s="14" t="n">
        <f aca="false">$B$2</f>
        <v>0.06</v>
      </c>
      <c r="E77" s="7" t="n">
        <f aca="false">ROUND(C77*$B$2,2)</f>
        <v>92.4</v>
      </c>
    </row>
    <row r="78" customFormat="false" ht="15" hidden="false" customHeight="false" outlineLevel="0" collapsed="false">
      <c r="A78" s="5" t="s">
        <v>106</v>
      </c>
      <c r="B78" s="6" t="n">
        <v>46143</v>
      </c>
      <c r="C78" s="7" t="n">
        <v>102.9</v>
      </c>
      <c r="D78" s="14" t="n">
        <f aca="false">$B$2</f>
        <v>0.06</v>
      </c>
      <c r="E78" s="7" t="n">
        <f aca="false">ROUND(C78*$B$2,2)</f>
        <v>6.17</v>
      </c>
    </row>
    <row r="79" customFormat="false" ht="15" hidden="false" customHeight="false" outlineLevel="0" collapsed="false">
      <c r="A79" s="5" t="s">
        <v>107</v>
      </c>
      <c r="B79" s="6" t="n">
        <v>46143</v>
      </c>
      <c r="C79" s="7" t="n">
        <v>206.4</v>
      </c>
      <c r="D79" s="14" t="n">
        <f aca="false">$B$2</f>
        <v>0.06</v>
      </c>
      <c r="E79" s="7" t="n">
        <f aca="false">ROUND(C79*$B$2,2)</f>
        <v>12.38</v>
      </c>
    </row>
    <row r="80" customFormat="false" ht="15" hidden="false" customHeight="false" outlineLevel="0" collapsed="false">
      <c r="A80" s="5" t="s">
        <v>108</v>
      </c>
      <c r="B80" s="6" t="n">
        <v>46143</v>
      </c>
      <c r="C80" s="7" t="n">
        <v>700.3</v>
      </c>
      <c r="D80" s="14" t="n">
        <f aca="false">$B$2</f>
        <v>0.06</v>
      </c>
      <c r="E80" s="7" t="n">
        <f aca="false">ROUND(C80*$B$2,2)</f>
        <v>42.02</v>
      </c>
    </row>
    <row r="81" customFormat="false" ht="15" hidden="false" customHeight="false" outlineLevel="0" collapsed="false">
      <c r="A81" s="5" t="s">
        <v>109</v>
      </c>
      <c r="B81" s="6" t="n">
        <v>46143</v>
      </c>
      <c r="C81" s="7" t="n">
        <v>242.4</v>
      </c>
      <c r="D81" s="14" t="n">
        <f aca="false">$B$2</f>
        <v>0.06</v>
      </c>
      <c r="E81" s="7" t="n">
        <f aca="false">ROUND(C81*$B$2,2)</f>
        <v>14.54</v>
      </c>
    </row>
    <row r="82" customFormat="false" ht="15" hidden="false" customHeight="false" outlineLevel="0" collapsed="false">
      <c r="A82" s="5" t="s">
        <v>110</v>
      </c>
      <c r="B82" s="6" t="n">
        <v>46143</v>
      </c>
      <c r="C82" s="7" t="n">
        <v>73.2</v>
      </c>
      <c r="D82" s="14" t="n">
        <f aca="false">$B$2</f>
        <v>0.06</v>
      </c>
      <c r="E82" s="7" t="n">
        <f aca="false">ROUND(C82*$B$2,2)</f>
        <v>4.39</v>
      </c>
    </row>
    <row r="83" customFormat="false" ht="15" hidden="false" customHeight="false" outlineLevel="0" collapsed="false">
      <c r="A83" s="8" t="s">
        <v>49</v>
      </c>
      <c r="B83" s="8"/>
      <c r="C83" s="10" t="n">
        <f aca="false">SUM(C71:C82)</f>
        <v>6281.3</v>
      </c>
      <c r="D83" s="8"/>
      <c r="E83" s="10" t="n">
        <f aca="false">SUM(E71:E82)</f>
        <v>376.86</v>
      </c>
    </row>
    <row r="85" customFormat="false" ht="15" hidden="false" customHeight="false" outlineLevel="0" collapsed="false">
      <c r="A85" s="13" t="s">
        <v>111</v>
      </c>
      <c r="B85" s="13"/>
      <c r="C85" s="13"/>
      <c r="D85" s="13"/>
      <c r="E85" s="13"/>
    </row>
    <row r="86" customFormat="false" ht="15" hidden="false" customHeight="false" outlineLevel="0" collapsed="false">
      <c r="A86" s="5" t="s">
        <v>112</v>
      </c>
      <c r="B86" s="6" t="n">
        <v>46174</v>
      </c>
      <c r="C86" s="7" t="n">
        <v>91.2</v>
      </c>
      <c r="D86" s="14" t="n">
        <f aca="false">$B$2</f>
        <v>0.06</v>
      </c>
      <c r="E86" s="7" t="n">
        <f aca="false">ROUND(C86*$B$2,2)</f>
        <v>5.47</v>
      </c>
    </row>
    <row r="87" customFormat="false" ht="15" hidden="false" customHeight="false" outlineLevel="0" collapsed="false">
      <c r="A87" s="5" t="s">
        <v>113</v>
      </c>
      <c r="B87" s="6" t="n">
        <v>46174</v>
      </c>
      <c r="C87" s="7" t="n">
        <v>91.2</v>
      </c>
      <c r="D87" s="14" t="n">
        <f aca="false">$B$2</f>
        <v>0.06</v>
      </c>
      <c r="E87" s="7" t="n">
        <f aca="false">ROUND(C87*$B$2,2)</f>
        <v>5.47</v>
      </c>
    </row>
    <row r="88" customFormat="false" ht="15" hidden="false" customHeight="false" outlineLevel="0" collapsed="false">
      <c r="A88" s="5" t="s">
        <v>114</v>
      </c>
      <c r="B88" s="6" t="n">
        <v>46174</v>
      </c>
      <c r="C88" s="7" t="n">
        <v>833.7</v>
      </c>
      <c r="D88" s="14" t="n">
        <f aca="false">$B$2</f>
        <v>0.06</v>
      </c>
      <c r="E88" s="7" t="n">
        <f aca="false">ROUND(C88*$B$2,2)</f>
        <v>50.02</v>
      </c>
    </row>
    <row r="89" customFormat="false" ht="15" hidden="false" customHeight="false" outlineLevel="0" collapsed="false">
      <c r="A89" s="5" t="s">
        <v>115</v>
      </c>
      <c r="B89" s="6" t="n">
        <v>46174</v>
      </c>
      <c r="C89" s="7" t="n">
        <v>367.2</v>
      </c>
      <c r="D89" s="14" t="n">
        <f aca="false">$B$2</f>
        <v>0.06</v>
      </c>
      <c r="E89" s="7" t="n">
        <f aca="false">ROUND(C89*$B$2,2)</f>
        <v>22.03</v>
      </c>
    </row>
    <row r="90" customFormat="false" ht="15" hidden="false" customHeight="false" outlineLevel="0" collapsed="false">
      <c r="A90" s="5" t="s">
        <v>116</v>
      </c>
      <c r="B90" s="6" t="n">
        <v>46174</v>
      </c>
      <c r="C90" s="7" t="n">
        <v>660</v>
      </c>
      <c r="D90" s="14" t="n">
        <f aca="false">$B$2</f>
        <v>0.06</v>
      </c>
      <c r="E90" s="7" t="n">
        <f aca="false">ROUND(C90*$B$2,2)</f>
        <v>39.6</v>
      </c>
    </row>
    <row r="91" customFormat="false" ht="15" hidden="false" customHeight="false" outlineLevel="0" collapsed="false">
      <c r="A91" s="5" t="s">
        <v>117</v>
      </c>
      <c r="B91" s="6" t="n">
        <v>46174</v>
      </c>
      <c r="C91" s="7" t="n">
        <v>201.4</v>
      </c>
      <c r="D91" s="14" t="n">
        <f aca="false">$B$2</f>
        <v>0.06</v>
      </c>
      <c r="E91" s="7" t="n">
        <f aca="false">ROUND(C91*$B$2,2)</f>
        <v>12.08</v>
      </c>
    </row>
    <row r="92" customFormat="false" ht="15" hidden="false" customHeight="false" outlineLevel="0" collapsed="false">
      <c r="A92" s="5" t="s">
        <v>118</v>
      </c>
      <c r="B92" s="6" t="n">
        <v>46174</v>
      </c>
      <c r="C92" s="7" t="n">
        <v>157.9</v>
      </c>
      <c r="D92" s="14" t="n">
        <f aca="false">$B$2</f>
        <v>0.06</v>
      </c>
      <c r="E92" s="7" t="n">
        <f aca="false">ROUND(C92*$B$2,2)</f>
        <v>9.47</v>
      </c>
    </row>
    <row r="93" customFormat="false" ht="15" hidden="false" customHeight="false" outlineLevel="0" collapsed="false">
      <c r="A93" s="5" t="s">
        <v>119</v>
      </c>
      <c r="B93" s="6" t="n">
        <v>46174</v>
      </c>
      <c r="C93" s="7" t="n">
        <v>27.5</v>
      </c>
      <c r="D93" s="14" t="n">
        <f aca="false">$B$2</f>
        <v>0.06</v>
      </c>
      <c r="E93" s="7" t="n">
        <f aca="false">ROUND(C93*$B$2,2)</f>
        <v>1.65</v>
      </c>
    </row>
    <row r="94" customFormat="false" ht="15" hidden="false" customHeight="false" outlineLevel="0" collapsed="false">
      <c r="A94" s="8" t="s">
        <v>49</v>
      </c>
      <c r="B94" s="8"/>
      <c r="C94" s="10" t="n">
        <f aca="false">SUM(C86:C93)</f>
        <v>2430.1</v>
      </c>
      <c r="D94" s="8"/>
      <c r="E94" s="10" t="n">
        <f aca="false">SUM(E86:E93)</f>
        <v>145.79</v>
      </c>
    </row>
    <row r="96" customFormat="false" ht="15" hidden="false" customHeight="false" outlineLevel="0" collapsed="false">
      <c r="A96" s="13" t="s">
        <v>120</v>
      </c>
      <c r="B96" s="13"/>
      <c r="C96" s="13"/>
      <c r="D96" s="13"/>
      <c r="E96" s="13"/>
    </row>
    <row r="97" customFormat="false" ht="15" hidden="false" customHeight="false" outlineLevel="0" collapsed="false">
      <c r="A97" s="5" t="s">
        <v>121</v>
      </c>
      <c r="B97" s="6" t="n">
        <v>46204</v>
      </c>
      <c r="C97" s="7" t="n">
        <v>73.2</v>
      </c>
      <c r="D97" s="14" t="n">
        <f aca="false">$B$2</f>
        <v>0.06</v>
      </c>
      <c r="E97" s="7" t="n">
        <f aca="false">ROUND(C97*$B$2,2)</f>
        <v>4.39</v>
      </c>
    </row>
    <row r="98" customFormat="false" ht="15" hidden="false" customHeight="false" outlineLevel="0" collapsed="false">
      <c r="A98" s="5" t="s">
        <v>122</v>
      </c>
      <c r="B98" s="6" t="n">
        <v>46204</v>
      </c>
      <c r="C98" s="7" t="n">
        <v>408</v>
      </c>
      <c r="D98" s="14" t="n">
        <f aca="false">$B$2</f>
        <v>0.06</v>
      </c>
      <c r="E98" s="7" t="n">
        <f aca="false">ROUND(C98*$B$2,2)</f>
        <v>24.48</v>
      </c>
    </row>
    <row r="99" customFormat="false" ht="15" hidden="false" customHeight="false" outlineLevel="0" collapsed="false">
      <c r="A99" s="5" t="s">
        <v>123</v>
      </c>
      <c r="B99" s="6" t="n">
        <v>46204</v>
      </c>
      <c r="C99" s="7" t="n">
        <v>440</v>
      </c>
      <c r="D99" s="14" t="n">
        <f aca="false">$B$2</f>
        <v>0.06</v>
      </c>
      <c r="E99" s="7" t="n">
        <f aca="false">ROUND(C99*$B$2,2)</f>
        <v>26.4</v>
      </c>
    </row>
    <row r="100" customFormat="false" ht="15" hidden="false" customHeight="false" outlineLevel="0" collapsed="false">
      <c r="A100" s="5" t="s">
        <v>124</v>
      </c>
      <c r="B100" s="6" t="n">
        <v>46204</v>
      </c>
      <c r="C100" s="7" t="n">
        <v>206.4</v>
      </c>
      <c r="D100" s="14" t="n">
        <f aca="false">$B$2</f>
        <v>0.06</v>
      </c>
      <c r="E100" s="7" t="n">
        <f aca="false">ROUND(C100*$B$2,2)</f>
        <v>12.38</v>
      </c>
    </row>
    <row r="101" customFormat="false" ht="15" hidden="false" customHeight="false" outlineLevel="0" collapsed="false">
      <c r="A101" s="5" t="s">
        <v>125</v>
      </c>
      <c r="B101" s="6" t="n">
        <v>46204</v>
      </c>
      <c r="C101" s="7" t="n">
        <v>82.5</v>
      </c>
      <c r="D101" s="14" t="n">
        <f aca="false">$B$2</f>
        <v>0.06</v>
      </c>
      <c r="E101" s="7" t="n">
        <f aca="false">ROUND(C101*$B$2,2)</f>
        <v>4.95</v>
      </c>
    </row>
    <row r="102" customFormat="false" ht="15" hidden="false" customHeight="false" outlineLevel="0" collapsed="false">
      <c r="A102" s="5" t="s">
        <v>126</v>
      </c>
      <c r="B102" s="6" t="n">
        <v>46204</v>
      </c>
      <c r="C102" s="7" t="n">
        <v>385.2</v>
      </c>
      <c r="D102" s="14" t="n">
        <f aca="false">$B$2</f>
        <v>0.06</v>
      </c>
      <c r="E102" s="7" t="n">
        <f aca="false">ROUND(C102*$B$2,2)</f>
        <v>23.11</v>
      </c>
    </row>
    <row r="103" customFormat="false" ht="15" hidden="false" customHeight="false" outlineLevel="0" collapsed="false">
      <c r="A103" s="5" t="s">
        <v>127</v>
      </c>
      <c r="B103" s="6" t="n">
        <v>46204</v>
      </c>
      <c r="C103" s="7" t="n">
        <v>330</v>
      </c>
      <c r="D103" s="14" t="n">
        <f aca="false">$B$2</f>
        <v>0.06</v>
      </c>
      <c r="E103" s="7" t="n">
        <f aca="false">ROUND(C103*$B$2,2)</f>
        <v>19.8</v>
      </c>
    </row>
    <row r="104" customFormat="false" ht="15" hidden="false" customHeight="false" outlineLevel="0" collapsed="false">
      <c r="A104" s="5" t="s">
        <v>128</v>
      </c>
      <c r="B104" s="6" t="n">
        <v>46204</v>
      </c>
      <c r="C104" s="7" t="n">
        <v>577.5</v>
      </c>
      <c r="D104" s="14" t="n">
        <f aca="false">$B$2</f>
        <v>0.06</v>
      </c>
      <c r="E104" s="7" t="n">
        <f aca="false">ROUND(C104*$B$2,2)</f>
        <v>34.65</v>
      </c>
    </row>
    <row r="105" customFormat="false" ht="15" hidden="false" customHeight="false" outlineLevel="0" collapsed="false">
      <c r="A105" s="5" t="s">
        <v>129</v>
      </c>
      <c r="B105" s="6" t="n">
        <v>46204</v>
      </c>
      <c r="C105" s="7" t="n">
        <v>2310</v>
      </c>
      <c r="D105" s="14" t="n">
        <f aca="false">$B$2</f>
        <v>0.06</v>
      </c>
      <c r="E105" s="7" t="n">
        <f aca="false">ROUND(C105*$B$2,2)</f>
        <v>138.6</v>
      </c>
    </row>
    <row r="106" customFormat="false" ht="15" hidden="false" customHeight="false" outlineLevel="0" collapsed="false">
      <c r="A106" s="5" t="s">
        <v>130</v>
      </c>
      <c r="B106" s="6" t="n">
        <v>46204</v>
      </c>
      <c r="C106" s="7" t="n">
        <v>247.5</v>
      </c>
      <c r="D106" s="14" t="n">
        <f aca="false">$B$2</f>
        <v>0.06</v>
      </c>
      <c r="E106" s="7" t="n">
        <f aca="false">ROUND(C106*$B$2,2)</f>
        <v>14.85</v>
      </c>
    </row>
    <row r="107" customFormat="false" ht="15" hidden="false" customHeight="false" outlineLevel="0" collapsed="false">
      <c r="A107" s="5" t="s">
        <v>131</v>
      </c>
      <c r="B107" s="6" t="n">
        <v>46204</v>
      </c>
      <c r="C107" s="7" t="n">
        <v>385</v>
      </c>
      <c r="D107" s="14" t="n">
        <f aca="false">$B$2</f>
        <v>0.06</v>
      </c>
      <c r="E107" s="7" t="n">
        <f aca="false">ROUND(C107*$B$2,2)</f>
        <v>23.1</v>
      </c>
    </row>
    <row r="108" customFormat="false" ht="15" hidden="false" customHeight="false" outlineLevel="0" collapsed="false">
      <c r="A108" s="8" t="s">
        <v>49</v>
      </c>
      <c r="B108" s="8"/>
      <c r="C108" s="10" t="n">
        <f aca="false">SUM(C97:C107)</f>
        <v>5445.3</v>
      </c>
      <c r="D108" s="8"/>
      <c r="E108" s="10" t="n">
        <f aca="false">SUM(E97:E107)</f>
        <v>326.71</v>
      </c>
    </row>
    <row r="110" customFormat="false" ht="15" hidden="false" customHeight="false" outlineLevel="0" collapsed="false">
      <c r="A110" s="13" t="s">
        <v>132</v>
      </c>
      <c r="B110" s="13"/>
      <c r="C110" s="13"/>
      <c r="D110" s="13"/>
      <c r="E110" s="13"/>
    </row>
    <row r="111" customFormat="false" ht="15" hidden="false" customHeight="false" outlineLevel="0" collapsed="false">
      <c r="A111" s="5" t="s">
        <v>133</v>
      </c>
      <c r="B111" s="6" t="n">
        <v>46235</v>
      </c>
      <c r="C111" s="7" t="n">
        <v>364.8</v>
      </c>
      <c r="D111" s="14" t="n">
        <f aca="false">$B$2</f>
        <v>0.06</v>
      </c>
      <c r="E111" s="7" t="n">
        <f aca="false">ROUND(C111*$B$2,2)</f>
        <v>21.89</v>
      </c>
    </row>
    <row r="112" customFormat="false" ht="15" hidden="false" customHeight="false" outlineLevel="0" collapsed="false">
      <c r="A112" s="5" t="s">
        <v>134</v>
      </c>
      <c r="B112" s="6" t="n">
        <v>46235</v>
      </c>
      <c r="C112" s="7" t="n">
        <v>456</v>
      </c>
      <c r="D112" s="14" t="n">
        <f aca="false">$B$2</f>
        <v>0.06</v>
      </c>
      <c r="E112" s="7" t="n">
        <f aca="false">ROUND(C112*$B$2,2)</f>
        <v>27.36</v>
      </c>
    </row>
    <row r="113" customFormat="false" ht="15" hidden="false" customHeight="false" outlineLevel="0" collapsed="false">
      <c r="A113" s="5" t="s">
        <v>135</v>
      </c>
      <c r="B113" s="6" t="n">
        <v>46235</v>
      </c>
      <c r="C113" s="7" t="n">
        <v>110</v>
      </c>
      <c r="D113" s="14" t="n">
        <f aca="false">$B$2</f>
        <v>0.06</v>
      </c>
      <c r="E113" s="7" t="n">
        <f aca="false">ROUND(C113*$B$2,2)</f>
        <v>6.6</v>
      </c>
    </row>
    <row r="114" customFormat="false" ht="15" hidden="false" customHeight="false" outlineLevel="0" collapsed="false">
      <c r="A114" s="8" t="s">
        <v>49</v>
      </c>
      <c r="B114" s="8"/>
      <c r="C114" s="10" t="n">
        <f aca="false">SUM(C111:C113)</f>
        <v>930.8</v>
      </c>
      <c r="D114" s="8"/>
      <c r="E114" s="10" t="n">
        <f aca="false">SUM(E111:E113)</f>
        <v>55.85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7"/>
  </cols>
  <sheetData>
    <row r="1" customFormat="false" ht="16.15" hidden="false" customHeight="false" outlineLevel="0" collapsed="false">
      <c r="A1" s="1" t="s">
        <v>136</v>
      </c>
    </row>
    <row r="2" customFormat="false" ht="15" hidden="false" customHeight="false" outlineLevel="0" collapsed="false">
      <c r="A2" s="2" t="s">
        <v>41</v>
      </c>
      <c r="B2" s="11" t="n">
        <v>0.06</v>
      </c>
      <c r="C2" s="12" t="s">
        <v>42</v>
      </c>
    </row>
    <row r="4" customFormat="false" ht="15" hidden="false" customHeight="false" outlineLevel="0" collapsed="false">
      <c r="A4" s="4" t="s">
        <v>43</v>
      </c>
      <c r="B4" s="4" t="s">
        <v>5</v>
      </c>
      <c r="C4" s="4" t="s">
        <v>7</v>
      </c>
      <c r="D4" s="4" t="s">
        <v>44</v>
      </c>
      <c r="E4" s="4" t="s">
        <v>45</v>
      </c>
    </row>
    <row r="5" customFormat="false" ht="15" hidden="false" customHeight="false" outlineLevel="0" collapsed="false">
      <c r="A5" s="13" t="s">
        <v>137</v>
      </c>
      <c r="B5" s="13"/>
      <c r="C5" s="13"/>
      <c r="D5" s="13"/>
      <c r="E5" s="13"/>
    </row>
    <row r="6" customFormat="false" ht="15" hidden="false" customHeight="false" outlineLevel="0" collapsed="false">
      <c r="A6" s="5" t="s">
        <v>138</v>
      </c>
      <c r="B6" s="6" t="n">
        <v>45901</v>
      </c>
      <c r="C6" s="7" t="n">
        <v>205.6</v>
      </c>
      <c r="D6" s="14" t="n">
        <f aca="false">$B$2</f>
        <v>0.06</v>
      </c>
      <c r="E6" s="7" t="n">
        <f aca="false">ROUND(C6*$B$2,2)</f>
        <v>12.34</v>
      </c>
    </row>
    <row r="7" customFormat="false" ht="15" hidden="false" customHeight="false" outlineLevel="0" collapsed="false">
      <c r="A7" s="8" t="s">
        <v>49</v>
      </c>
      <c r="B7" s="8"/>
      <c r="C7" s="10" t="n">
        <f aca="false">SUM(C6:C6)</f>
        <v>205.6</v>
      </c>
      <c r="D7" s="8"/>
      <c r="E7" s="10" t="n">
        <f aca="false">SUM(E6:E6)</f>
        <v>12.34</v>
      </c>
    </row>
    <row r="9" customFormat="false" ht="15" hidden="false" customHeight="false" outlineLevel="0" collapsed="false">
      <c r="A9" s="13" t="s">
        <v>139</v>
      </c>
      <c r="B9" s="13"/>
      <c r="C9" s="13"/>
      <c r="D9" s="13"/>
      <c r="E9" s="13"/>
    </row>
    <row r="10" customFormat="false" ht="15" hidden="false" customHeight="false" outlineLevel="0" collapsed="false">
      <c r="A10" s="5" t="s">
        <v>48</v>
      </c>
      <c r="B10" s="6" t="n">
        <v>45931</v>
      </c>
      <c r="C10" s="7" t="n">
        <v>1101.6</v>
      </c>
      <c r="D10" s="14" t="n">
        <f aca="false">$B$2</f>
        <v>0.06</v>
      </c>
      <c r="E10" s="7" t="n">
        <f aca="false">ROUND(C10*$B$2,2)</f>
        <v>66.1</v>
      </c>
    </row>
    <row r="11" customFormat="false" ht="15" hidden="false" customHeight="false" outlineLevel="0" collapsed="false">
      <c r="A11" s="8" t="s">
        <v>49</v>
      </c>
      <c r="B11" s="8"/>
      <c r="C11" s="10" t="n">
        <f aca="false">SUM(C10:C10)</f>
        <v>1101.6</v>
      </c>
      <c r="D11" s="8"/>
      <c r="E11" s="10" t="n">
        <f aca="false">SUM(E10:E10)</f>
        <v>66.1</v>
      </c>
    </row>
    <row r="13" customFormat="false" ht="15" hidden="false" customHeight="false" outlineLevel="0" collapsed="false">
      <c r="A13" s="13" t="s">
        <v>140</v>
      </c>
      <c r="B13" s="13"/>
      <c r="C13" s="13"/>
      <c r="D13" s="13"/>
      <c r="E13" s="13"/>
    </row>
    <row r="14" customFormat="false" ht="15" hidden="false" customHeight="false" outlineLevel="0" collapsed="false">
      <c r="A14" s="5" t="s">
        <v>52</v>
      </c>
      <c r="B14" s="6" t="n">
        <v>45962</v>
      </c>
      <c r="C14" s="7" t="n">
        <v>1898.25</v>
      </c>
      <c r="D14" s="14" t="n">
        <f aca="false">$B$2</f>
        <v>0.06</v>
      </c>
      <c r="E14" s="7" t="n">
        <f aca="false">ROUND(C14*$B$2,2)</f>
        <v>113.9</v>
      </c>
    </row>
    <row r="15" customFormat="false" ht="15" hidden="false" customHeight="false" outlineLevel="0" collapsed="false">
      <c r="A15" s="5" t="s">
        <v>53</v>
      </c>
      <c r="B15" s="6" t="n">
        <v>45962</v>
      </c>
      <c r="C15" s="7" t="n">
        <v>2511.45</v>
      </c>
      <c r="D15" s="14" t="n">
        <f aca="false">$B$2</f>
        <v>0.06</v>
      </c>
      <c r="E15" s="7" t="n">
        <f aca="false">ROUND(C15*$B$2,2)</f>
        <v>150.69</v>
      </c>
    </row>
    <row r="16" customFormat="false" ht="15" hidden="false" customHeight="false" outlineLevel="0" collapsed="false">
      <c r="A16" s="8" t="s">
        <v>49</v>
      </c>
      <c r="B16" s="8"/>
      <c r="C16" s="10" t="n">
        <f aca="false">SUM(C14:C15)</f>
        <v>4409.7</v>
      </c>
      <c r="D16" s="8"/>
      <c r="E16" s="10" t="n">
        <f aca="false">SUM(E14:E15)</f>
        <v>264.59</v>
      </c>
    </row>
    <row r="18" customFormat="false" ht="15" hidden="false" customHeight="false" outlineLevel="0" collapsed="false">
      <c r="A18" s="13" t="s">
        <v>141</v>
      </c>
      <c r="B18" s="13"/>
      <c r="C18" s="13"/>
      <c r="D18" s="13"/>
      <c r="E18" s="13"/>
    </row>
    <row r="19" customFormat="false" ht="15" hidden="false" customHeight="false" outlineLevel="0" collapsed="false">
      <c r="A19" s="5" t="s">
        <v>56</v>
      </c>
      <c r="B19" s="6" t="n">
        <v>45992</v>
      </c>
      <c r="C19" s="7" t="n">
        <v>239.94</v>
      </c>
      <c r="D19" s="14" t="n">
        <f aca="false">$B$2</f>
        <v>0.06</v>
      </c>
      <c r="E19" s="7" t="n">
        <f aca="false">ROUND(C19*$B$2,2)</f>
        <v>14.4</v>
      </c>
    </row>
    <row r="20" customFormat="false" ht="15" hidden="false" customHeight="false" outlineLevel="0" collapsed="false">
      <c r="A20" s="5" t="s">
        <v>57</v>
      </c>
      <c r="B20" s="6" t="n">
        <v>45992</v>
      </c>
      <c r="C20" s="7" t="n">
        <v>26.66</v>
      </c>
      <c r="D20" s="14" t="n">
        <f aca="false">$B$2</f>
        <v>0.06</v>
      </c>
      <c r="E20" s="7" t="n">
        <f aca="false">ROUND(C20*$B$2,2)</f>
        <v>1.6</v>
      </c>
    </row>
    <row r="21" customFormat="false" ht="15" hidden="false" customHeight="false" outlineLevel="0" collapsed="false">
      <c r="A21" s="5" t="s">
        <v>61</v>
      </c>
      <c r="B21" s="6" t="n">
        <v>45992</v>
      </c>
      <c r="C21" s="7" t="n">
        <v>70.5</v>
      </c>
      <c r="D21" s="14" t="n">
        <f aca="false">$B$2</f>
        <v>0.06</v>
      </c>
      <c r="E21" s="7" t="n">
        <f aca="false">ROUND(C21*$B$2,2)</f>
        <v>4.23</v>
      </c>
    </row>
    <row r="22" customFormat="false" ht="15" hidden="false" customHeight="false" outlineLevel="0" collapsed="false">
      <c r="A22" s="5" t="s">
        <v>62</v>
      </c>
      <c r="B22" s="6" t="n">
        <v>45992</v>
      </c>
      <c r="C22" s="7" t="n">
        <v>122.4</v>
      </c>
      <c r="D22" s="14" t="n">
        <f aca="false">$B$2</f>
        <v>0.06</v>
      </c>
      <c r="E22" s="7" t="n">
        <f aca="false">ROUND(C22*$B$2,2)</f>
        <v>7.34</v>
      </c>
    </row>
    <row r="23" customFormat="false" ht="15" hidden="false" customHeight="false" outlineLevel="0" collapsed="false">
      <c r="A23" s="5" t="s">
        <v>142</v>
      </c>
      <c r="B23" s="6" t="n">
        <v>45992</v>
      </c>
      <c r="C23" s="7" t="n">
        <v>254.4</v>
      </c>
      <c r="D23" s="14" t="n">
        <f aca="false">$B$2</f>
        <v>0.06</v>
      </c>
      <c r="E23" s="7" t="n">
        <f aca="false">ROUND(C23*$B$2,2)</f>
        <v>15.26</v>
      </c>
    </row>
    <row r="24" customFormat="false" ht="15" hidden="false" customHeight="false" outlineLevel="0" collapsed="false">
      <c r="A24" s="8" t="s">
        <v>49</v>
      </c>
      <c r="B24" s="8"/>
      <c r="C24" s="10" t="n">
        <f aca="false">SUM(C19:C23)</f>
        <v>713.9</v>
      </c>
      <c r="D24" s="8"/>
      <c r="E24" s="10" t="n">
        <f aca="false">SUM(E19:E23)</f>
        <v>42.83</v>
      </c>
    </row>
    <row r="26" customFormat="false" ht="15" hidden="false" customHeight="false" outlineLevel="0" collapsed="false">
      <c r="A26" s="13" t="s">
        <v>143</v>
      </c>
      <c r="B26" s="13"/>
      <c r="C26" s="13"/>
      <c r="D26" s="13"/>
      <c r="E26" s="13"/>
    </row>
    <row r="27" customFormat="false" ht="15" hidden="false" customHeight="false" outlineLevel="0" collapsed="false">
      <c r="A27" s="5" t="s">
        <v>144</v>
      </c>
      <c r="B27" s="6" t="n">
        <v>46023</v>
      </c>
      <c r="C27" s="7" t="n">
        <v>124.8</v>
      </c>
      <c r="D27" s="14" t="n">
        <f aca="false">$B$2</f>
        <v>0.06</v>
      </c>
      <c r="E27" s="7" t="n">
        <f aca="false">ROUND(C27*$B$2,2)</f>
        <v>7.49</v>
      </c>
    </row>
    <row r="28" customFormat="false" ht="15" hidden="false" customHeight="false" outlineLevel="0" collapsed="false">
      <c r="A28" s="5" t="s">
        <v>64</v>
      </c>
      <c r="B28" s="6" t="n">
        <v>46023</v>
      </c>
      <c r="C28" s="7" t="n">
        <v>102.8</v>
      </c>
      <c r="D28" s="14" t="n">
        <f aca="false">$B$2</f>
        <v>0.06</v>
      </c>
      <c r="E28" s="7" t="n">
        <f aca="false">ROUND(C28*$B$2,2)</f>
        <v>6.17</v>
      </c>
    </row>
    <row r="29" customFormat="false" ht="15" hidden="false" customHeight="false" outlineLevel="0" collapsed="false">
      <c r="A29" s="5" t="s">
        <v>65</v>
      </c>
      <c r="B29" s="6" t="n">
        <v>46023</v>
      </c>
      <c r="C29" s="7" t="n">
        <v>76.8</v>
      </c>
      <c r="D29" s="14" t="n">
        <f aca="false">$B$2</f>
        <v>0.06</v>
      </c>
      <c r="E29" s="7" t="n">
        <f aca="false">ROUND(C29*$B$2,2)</f>
        <v>4.61</v>
      </c>
    </row>
    <row r="30" customFormat="false" ht="15" hidden="false" customHeight="false" outlineLevel="0" collapsed="false">
      <c r="A30" s="5" t="s">
        <v>145</v>
      </c>
      <c r="B30" s="6" t="n">
        <v>46023</v>
      </c>
      <c r="C30" s="7" t="n">
        <v>117.5</v>
      </c>
      <c r="D30" s="14" t="n">
        <f aca="false">$B$2</f>
        <v>0.06</v>
      </c>
      <c r="E30" s="7" t="n">
        <f aca="false">ROUND(C30*$B$2,2)</f>
        <v>7.05</v>
      </c>
    </row>
    <row r="31" customFormat="false" ht="15" hidden="false" customHeight="false" outlineLevel="0" collapsed="false">
      <c r="A31" s="8" t="s">
        <v>49</v>
      </c>
      <c r="B31" s="8"/>
      <c r="C31" s="10" t="n">
        <f aca="false">SUM(C27:C30)</f>
        <v>421.9</v>
      </c>
      <c r="D31" s="8"/>
      <c r="E31" s="10" t="n">
        <f aca="false">SUM(E27:E30)</f>
        <v>25.32</v>
      </c>
    </row>
    <row r="33" customFormat="false" ht="15" hidden="false" customHeight="false" outlineLevel="0" collapsed="false">
      <c r="A33" s="13" t="s">
        <v>146</v>
      </c>
      <c r="B33" s="13"/>
      <c r="C33" s="13"/>
      <c r="D33" s="13"/>
      <c r="E33" s="13"/>
    </row>
    <row r="34" customFormat="false" ht="15" hidden="false" customHeight="false" outlineLevel="0" collapsed="false">
      <c r="A34" s="5" t="s">
        <v>71</v>
      </c>
      <c r="B34" s="6" t="n">
        <v>46054</v>
      </c>
      <c r="C34" s="7" t="n">
        <v>390.7</v>
      </c>
      <c r="D34" s="14" t="n">
        <f aca="false">$B$2</f>
        <v>0.06</v>
      </c>
      <c r="E34" s="7" t="n">
        <f aca="false">ROUND(C34*$B$2,2)</f>
        <v>23.44</v>
      </c>
    </row>
    <row r="35" customFormat="false" ht="15" hidden="false" customHeight="false" outlineLevel="0" collapsed="false">
      <c r="A35" s="5" t="s">
        <v>73</v>
      </c>
      <c r="B35" s="6" t="n">
        <v>46054</v>
      </c>
      <c r="C35" s="7" t="n">
        <v>135</v>
      </c>
      <c r="D35" s="14" t="n">
        <f aca="false">$B$2</f>
        <v>0.06</v>
      </c>
      <c r="E35" s="7" t="n">
        <f aca="false">ROUND(C35*$B$2,2)</f>
        <v>8.1</v>
      </c>
    </row>
    <row r="36" customFormat="false" ht="15" hidden="false" customHeight="false" outlineLevel="0" collapsed="false">
      <c r="A36" s="5" t="s">
        <v>76</v>
      </c>
      <c r="B36" s="6" t="n">
        <v>46054</v>
      </c>
      <c r="C36" s="7" t="n">
        <v>61.2</v>
      </c>
      <c r="D36" s="14" t="n">
        <f aca="false">$B$2</f>
        <v>0.06</v>
      </c>
      <c r="E36" s="7" t="n">
        <f aca="false">ROUND(C36*$B$2,2)</f>
        <v>3.67</v>
      </c>
    </row>
    <row r="37" customFormat="false" ht="15" hidden="false" customHeight="false" outlineLevel="0" collapsed="false">
      <c r="A37" s="5" t="s">
        <v>147</v>
      </c>
      <c r="B37" s="6" t="n">
        <v>46054</v>
      </c>
      <c r="C37" s="7" t="n">
        <v>612</v>
      </c>
      <c r="D37" s="14" t="n">
        <f aca="false">$B$2</f>
        <v>0.06</v>
      </c>
      <c r="E37" s="7" t="n">
        <f aca="false">ROUND(C37*$B$2,2)</f>
        <v>36.72</v>
      </c>
    </row>
    <row r="38" customFormat="false" ht="15" hidden="false" customHeight="false" outlineLevel="0" collapsed="false">
      <c r="A38" s="5" t="s">
        <v>78</v>
      </c>
      <c r="B38" s="6" t="n">
        <v>46054</v>
      </c>
      <c r="C38" s="7" t="n">
        <v>367.2</v>
      </c>
      <c r="D38" s="14" t="n">
        <f aca="false">$B$2</f>
        <v>0.06</v>
      </c>
      <c r="E38" s="7" t="n">
        <f aca="false">ROUND(C38*$B$2,2)</f>
        <v>22.03</v>
      </c>
    </row>
    <row r="39" customFormat="false" ht="15" hidden="false" customHeight="false" outlineLevel="0" collapsed="false">
      <c r="A39" s="8" t="s">
        <v>49</v>
      </c>
      <c r="B39" s="8"/>
      <c r="C39" s="10" t="n">
        <f aca="false">SUM(C34:C38)</f>
        <v>1566.1</v>
      </c>
      <c r="D39" s="8"/>
      <c r="E39" s="10" t="n">
        <f aca="false">SUM(E34:E38)</f>
        <v>93.96</v>
      </c>
    </row>
    <row r="41" customFormat="false" ht="15" hidden="false" customHeight="false" outlineLevel="0" collapsed="false">
      <c r="A41" s="13" t="s">
        <v>148</v>
      </c>
      <c r="B41" s="13"/>
      <c r="C41" s="13"/>
      <c r="D41" s="13"/>
      <c r="E41" s="13"/>
    </row>
    <row r="42" customFormat="false" ht="15" hidden="false" customHeight="false" outlineLevel="0" collapsed="false">
      <c r="A42" s="5" t="s">
        <v>80</v>
      </c>
      <c r="B42" s="6" t="n">
        <v>46082</v>
      </c>
      <c r="C42" s="7" t="n">
        <v>244.8</v>
      </c>
      <c r="D42" s="14" t="n">
        <f aca="false">$B$2</f>
        <v>0.06</v>
      </c>
      <c r="E42" s="7" t="n">
        <f aca="false">ROUND(C42*$B$2,2)</f>
        <v>14.69</v>
      </c>
    </row>
    <row r="43" customFormat="false" ht="15" hidden="false" customHeight="false" outlineLevel="0" collapsed="false">
      <c r="A43" s="5" t="s">
        <v>81</v>
      </c>
      <c r="B43" s="6" t="n">
        <v>46082</v>
      </c>
      <c r="C43" s="7" t="n">
        <v>244.8</v>
      </c>
      <c r="D43" s="14" t="n">
        <f aca="false">$B$2</f>
        <v>0.06</v>
      </c>
      <c r="E43" s="7" t="n">
        <f aca="false">ROUND(C43*$B$2,2)</f>
        <v>14.69</v>
      </c>
    </row>
    <row r="44" customFormat="false" ht="15" hidden="false" customHeight="false" outlineLevel="0" collapsed="false">
      <c r="A44" s="5" t="s">
        <v>82</v>
      </c>
      <c r="B44" s="6" t="n">
        <v>46082</v>
      </c>
      <c r="C44" s="7" t="n">
        <v>122.4</v>
      </c>
      <c r="D44" s="14" t="n">
        <f aca="false">$B$2</f>
        <v>0.06</v>
      </c>
      <c r="E44" s="7" t="n">
        <f aca="false">ROUND(C44*$B$2,2)</f>
        <v>7.34</v>
      </c>
    </row>
    <row r="45" customFormat="false" ht="15" hidden="false" customHeight="false" outlineLevel="0" collapsed="false">
      <c r="A45" s="5" t="s">
        <v>149</v>
      </c>
      <c r="B45" s="6" t="n">
        <v>46082</v>
      </c>
      <c r="C45" s="7" t="n">
        <v>102.8</v>
      </c>
      <c r="D45" s="14" t="n">
        <f aca="false">$B$2</f>
        <v>0.06</v>
      </c>
      <c r="E45" s="7" t="n">
        <f aca="false">ROUND(C45*$B$2,2)</f>
        <v>6.17</v>
      </c>
    </row>
    <row r="46" customFormat="false" ht="15" hidden="false" customHeight="false" outlineLevel="0" collapsed="false">
      <c r="A46" s="5" t="s">
        <v>85</v>
      </c>
      <c r="B46" s="6" t="n">
        <v>46082</v>
      </c>
      <c r="C46" s="7" t="n">
        <v>412.2</v>
      </c>
      <c r="D46" s="14" t="n">
        <f aca="false">$B$2</f>
        <v>0.06</v>
      </c>
      <c r="E46" s="7" t="n">
        <f aca="false">ROUND(C46*$B$2,2)</f>
        <v>24.73</v>
      </c>
    </row>
    <row r="47" customFormat="false" ht="15" hidden="false" customHeight="false" outlineLevel="0" collapsed="false">
      <c r="A47" s="5" t="s">
        <v>150</v>
      </c>
      <c r="B47" s="6" t="n">
        <v>46082</v>
      </c>
      <c r="C47" s="7" t="n">
        <v>612</v>
      </c>
      <c r="D47" s="14" t="n">
        <f aca="false">$B$2</f>
        <v>0.06</v>
      </c>
      <c r="E47" s="7" t="n">
        <f aca="false">ROUND(C47*$B$2,2)</f>
        <v>36.72</v>
      </c>
    </row>
    <row r="48" customFormat="false" ht="15" hidden="false" customHeight="false" outlineLevel="0" collapsed="false">
      <c r="A48" s="5" t="s">
        <v>87</v>
      </c>
      <c r="B48" s="6" t="n">
        <v>46082</v>
      </c>
      <c r="C48" s="7" t="n">
        <v>612</v>
      </c>
      <c r="D48" s="14" t="n">
        <f aca="false">$B$2</f>
        <v>0.06</v>
      </c>
      <c r="E48" s="7" t="n">
        <f aca="false">ROUND(C48*$B$2,2)</f>
        <v>36.72</v>
      </c>
    </row>
    <row r="49" customFormat="false" ht="15" hidden="false" customHeight="false" outlineLevel="0" collapsed="false">
      <c r="A49" s="8" t="s">
        <v>49</v>
      </c>
      <c r="B49" s="8"/>
      <c r="C49" s="10" t="n">
        <f aca="false">SUM(C42:C48)</f>
        <v>2351</v>
      </c>
      <c r="D49" s="8"/>
      <c r="E49" s="10" t="n">
        <f aca="false">SUM(E42:E48)</f>
        <v>141.06</v>
      </c>
    </row>
    <row r="51" customFormat="false" ht="15" hidden="false" customHeight="false" outlineLevel="0" collapsed="false">
      <c r="A51" s="13" t="s">
        <v>151</v>
      </c>
      <c r="B51" s="13"/>
      <c r="C51" s="13"/>
      <c r="D51" s="13"/>
      <c r="E51" s="13"/>
    </row>
    <row r="52" customFormat="false" ht="15" hidden="false" customHeight="false" outlineLevel="0" collapsed="false">
      <c r="A52" s="5" t="s">
        <v>92</v>
      </c>
      <c r="B52" s="6" t="n">
        <v>46113</v>
      </c>
      <c r="C52" s="7" t="n">
        <v>489.6</v>
      </c>
      <c r="D52" s="14" t="n">
        <f aca="false">$B$2</f>
        <v>0.06</v>
      </c>
      <c r="E52" s="7" t="n">
        <f aca="false">ROUND(C52*$B$2,2)</f>
        <v>29.38</v>
      </c>
    </row>
    <row r="53" customFormat="false" ht="15" hidden="false" customHeight="false" outlineLevel="0" collapsed="false">
      <c r="A53" s="5" t="s">
        <v>93</v>
      </c>
      <c r="B53" s="6" t="n">
        <v>46113</v>
      </c>
      <c r="C53" s="7" t="n">
        <v>959.6</v>
      </c>
      <c r="D53" s="14" t="n">
        <f aca="false">$B$2</f>
        <v>0.06</v>
      </c>
      <c r="E53" s="7" t="n">
        <f aca="false">ROUND(C53*$B$2,2)</f>
        <v>57.58</v>
      </c>
    </row>
    <row r="54" customFormat="false" ht="15" hidden="false" customHeight="false" outlineLevel="0" collapsed="false">
      <c r="A54" s="5" t="s">
        <v>96</v>
      </c>
      <c r="B54" s="6" t="n">
        <v>46113</v>
      </c>
      <c r="C54" s="7" t="n">
        <v>244.8</v>
      </c>
      <c r="D54" s="14" t="n">
        <f aca="false">$B$2</f>
        <v>0.06</v>
      </c>
      <c r="E54" s="7" t="n">
        <f aca="false">ROUND(C54*$B$2,2)</f>
        <v>14.69</v>
      </c>
    </row>
    <row r="55" customFormat="false" ht="15" hidden="false" customHeight="false" outlineLevel="0" collapsed="false">
      <c r="A55" s="5" t="s">
        <v>97</v>
      </c>
      <c r="B55" s="6" t="n">
        <v>46113</v>
      </c>
      <c r="C55" s="7" t="n">
        <v>734.4</v>
      </c>
      <c r="D55" s="14" t="n">
        <f aca="false">$B$2</f>
        <v>0.06</v>
      </c>
      <c r="E55" s="7" t="n">
        <f aca="false">ROUND(C55*$B$2,2)</f>
        <v>44.06</v>
      </c>
    </row>
    <row r="56" customFormat="false" ht="15" hidden="false" customHeight="false" outlineLevel="0" collapsed="false">
      <c r="A56" s="8" t="s">
        <v>49</v>
      </c>
      <c r="B56" s="8"/>
      <c r="C56" s="10" t="n">
        <f aca="false">SUM(C52:C55)</f>
        <v>2428.4</v>
      </c>
      <c r="D56" s="8"/>
      <c r="E56" s="10" t="n">
        <f aca="false">SUM(E52:E55)</f>
        <v>145.71</v>
      </c>
    </row>
    <row r="58" customFormat="false" ht="15" hidden="false" customHeight="false" outlineLevel="0" collapsed="false">
      <c r="A58" s="13" t="s">
        <v>152</v>
      </c>
      <c r="B58" s="13"/>
      <c r="C58" s="13"/>
      <c r="D58" s="13"/>
      <c r="E58" s="13"/>
    </row>
    <row r="59" customFormat="false" ht="15" hidden="false" customHeight="false" outlineLevel="0" collapsed="false">
      <c r="A59" s="5" t="s">
        <v>99</v>
      </c>
      <c r="B59" s="6" t="n">
        <v>46143</v>
      </c>
      <c r="C59" s="7" t="n">
        <v>979.2</v>
      </c>
      <c r="D59" s="14" t="n">
        <f aca="false">$B$2</f>
        <v>0.06</v>
      </c>
      <c r="E59" s="7" t="n">
        <f aca="false">ROUND(C59*$B$2,2)</f>
        <v>58.75</v>
      </c>
    </row>
    <row r="60" customFormat="false" ht="15" hidden="false" customHeight="false" outlineLevel="0" collapsed="false">
      <c r="A60" s="5" t="s">
        <v>101</v>
      </c>
      <c r="B60" s="6" t="n">
        <v>46143</v>
      </c>
      <c r="C60" s="7" t="n">
        <v>244.8</v>
      </c>
      <c r="D60" s="14" t="n">
        <f aca="false">$B$2</f>
        <v>0.06</v>
      </c>
      <c r="E60" s="7" t="n">
        <f aca="false">ROUND(C60*$B$2,2)</f>
        <v>14.69</v>
      </c>
    </row>
    <row r="61" customFormat="false" ht="15" hidden="false" customHeight="false" outlineLevel="0" collapsed="false">
      <c r="A61" s="5" t="s">
        <v>106</v>
      </c>
      <c r="B61" s="6" t="n">
        <v>46143</v>
      </c>
      <c r="C61" s="7" t="n">
        <v>122.4</v>
      </c>
      <c r="D61" s="14" t="n">
        <f aca="false">$B$2</f>
        <v>0.06</v>
      </c>
      <c r="E61" s="7" t="n">
        <f aca="false">ROUND(C61*$B$2,2)</f>
        <v>7.34</v>
      </c>
    </row>
    <row r="62" customFormat="false" ht="15" hidden="false" customHeight="false" outlineLevel="0" collapsed="false">
      <c r="A62" s="5" t="s">
        <v>108</v>
      </c>
      <c r="B62" s="6" t="n">
        <v>46143</v>
      </c>
      <c r="C62" s="7" t="n">
        <v>367.2</v>
      </c>
      <c r="D62" s="14" t="n">
        <f aca="false">$B$2</f>
        <v>0.06</v>
      </c>
      <c r="E62" s="7" t="n">
        <f aca="false">ROUND(C62*$B$2,2)</f>
        <v>22.03</v>
      </c>
    </row>
    <row r="63" customFormat="false" ht="15" hidden="false" customHeight="false" outlineLevel="0" collapsed="false">
      <c r="A63" s="5" t="s">
        <v>109</v>
      </c>
      <c r="B63" s="6" t="n">
        <v>46143</v>
      </c>
      <c r="C63" s="7" t="n">
        <v>612</v>
      </c>
      <c r="D63" s="14" t="n">
        <f aca="false">$B$2</f>
        <v>0.06</v>
      </c>
      <c r="E63" s="7" t="n">
        <f aca="false">ROUND(C63*$B$2,2)</f>
        <v>36.72</v>
      </c>
    </row>
    <row r="64" customFormat="false" ht="15" hidden="false" customHeight="false" outlineLevel="0" collapsed="false">
      <c r="A64" s="8" t="s">
        <v>49</v>
      </c>
      <c r="B64" s="8"/>
      <c r="C64" s="10" t="n">
        <f aca="false">SUM(C59:C63)</f>
        <v>2325.6</v>
      </c>
      <c r="D64" s="8"/>
      <c r="E64" s="10" t="n">
        <f aca="false">SUM(E59:E63)</f>
        <v>139.53</v>
      </c>
    </row>
    <row r="66" customFormat="false" ht="15" hidden="false" customHeight="false" outlineLevel="0" collapsed="false">
      <c r="A66" s="13" t="s">
        <v>153</v>
      </c>
      <c r="B66" s="13"/>
      <c r="C66" s="13"/>
      <c r="D66" s="13"/>
      <c r="E66" s="13"/>
    </row>
    <row r="67" customFormat="false" ht="15" hidden="false" customHeight="false" outlineLevel="0" collapsed="false">
      <c r="A67" s="5" t="s">
        <v>114</v>
      </c>
      <c r="B67" s="6" t="n">
        <v>46174</v>
      </c>
      <c r="C67" s="7" t="n">
        <v>212.4</v>
      </c>
      <c r="D67" s="14" t="n">
        <f aca="false">$B$2</f>
        <v>0.06</v>
      </c>
      <c r="E67" s="7" t="n">
        <f aca="false">ROUND(C67*$B$2,2)</f>
        <v>12.74</v>
      </c>
    </row>
    <row r="68" customFormat="false" ht="15" hidden="false" customHeight="false" outlineLevel="0" collapsed="false">
      <c r="A68" s="5" t="s">
        <v>115</v>
      </c>
      <c r="B68" s="6" t="n">
        <v>46174</v>
      </c>
      <c r="C68" s="7" t="n">
        <v>102.8</v>
      </c>
      <c r="D68" s="14" t="n">
        <f aca="false">$B$2</f>
        <v>0.06</v>
      </c>
      <c r="E68" s="7" t="n">
        <f aca="false">ROUND(C68*$B$2,2)</f>
        <v>6.17</v>
      </c>
    </row>
    <row r="69" customFormat="false" ht="15" hidden="false" customHeight="false" outlineLevel="0" collapsed="false">
      <c r="A69" s="5" t="s">
        <v>116</v>
      </c>
      <c r="B69" s="6" t="n">
        <v>46174</v>
      </c>
      <c r="C69" s="7" t="n">
        <v>991.8</v>
      </c>
      <c r="D69" s="14" t="n">
        <f aca="false">$B$2</f>
        <v>0.06</v>
      </c>
      <c r="E69" s="7" t="n">
        <f aca="false">ROUND(C69*$B$2,2)</f>
        <v>59.51</v>
      </c>
    </row>
    <row r="70" customFormat="false" ht="15" hidden="false" customHeight="false" outlineLevel="0" collapsed="false">
      <c r="A70" s="5" t="s">
        <v>154</v>
      </c>
      <c r="B70" s="6" t="n">
        <v>46174</v>
      </c>
      <c r="C70" s="7" t="n">
        <v>76.8</v>
      </c>
      <c r="D70" s="14" t="n">
        <f aca="false">$B$2</f>
        <v>0.06</v>
      </c>
      <c r="E70" s="7" t="n">
        <f aca="false">ROUND(C70*$B$2,2)</f>
        <v>4.61</v>
      </c>
    </row>
    <row r="71" customFormat="false" ht="15" hidden="false" customHeight="false" outlineLevel="0" collapsed="false">
      <c r="A71" s="5" t="s">
        <v>118</v>
      </c>
      <c r="B71" s="6" t="n">
        <v>46174</v>
      </c>
      <c r="C71" s="7" t="n">
        <v>244.8</v>
      </c>
      <c r="D71" s="14" t="n">
        <f aca="false">$B$2</f>
        <v>0.06</v>
      </c>
      <c r="E71" s="7" t="n">
        <f aca="false">ROUND(C71*$B$2,2)</f>
        <v>14.69</v>
      </c>
    </row>
    <row r="72" customFormat="false" ht="15" hidden="false" customHeight="false" outlineLevel="0" collapsed="false">
      <c r="A72" s="5" t="s">
        <v>119</v>
      </c>
      <c r="B72" s="6" t="n">
        <v>46174</v>
      </c>
      <c r="C72" s="7" t="n">
        <v>122.4</v>
      </c>
      <c r="D72" s="14" t="n">
        <f aca="false">$B$2</f>
        <v>0.06</v>
      </c>
      <c r="E72" s="7" t="n">
        <f aca="false">ROUND(C72*$B$2,2)</f>
        <v>7.34</v>
      </c>
    </row>
    <row r="73" customFormat="false" ht="15" hidden="false" customHeight="false" outlineLevel="0" collapsed="false">
      <c r="A73" s="8" t="s">
        <v>49</v>
      </c>
      <c r="B73" s="8"/>
      <c r="C73" s="10" t="n">
        <f aca="false">SUM(C67:C72)</f>
        <v>1751</v>
      </c>
      <c r="D73" s="8"/>
      <c r="E73" s="10" t="n">
        <f aca="false">SUM(E67:E72)</f>
        <v>105.06</v>
      </c>
    </row>
    <row r="75" customFormat="false" ht="15" hidden="false" customHeight="false" outlineLevel="0" collapsed="false">
      <c r="A75" s="13" t="s">
        <v>155</v>
      </c>
      <c r="B75" s="13"/>
      <c r="C75" s="13"/>
      <c r="D75" s="13"/>
      <c r="E75" s="13"/>
    </row>
    <row r="76" customFormat="false" ht="15" hidden="false" customHeight="false" outlineLevel="0" collapsed="false">
      <c r="A76" s="5" t="s">
        <v>128</v>
      </c>
      <c r="B76" s="6" t="n">
        <v>46204</v>
      </c>
      <c r="C76" s="7" t="n">
        <v>45</v>
      </c>
      <c r="D76" s="14" t="n">
        <f aca="false">$B$2</f>
        <v>0.06</v>
      </c>
      <c r="E76" s="7" t="n">
        <f aca="false">ROUND(C76*$B$2,2)</f>
        <v>2.7</v>
      </c>
    </row>
    <row r="77" customFormat="false" ht="15" hidden="false" customHeight="false" outlineLevel="0" collapsed="false">
      <c r="A77" s="5" t="s">
        <v>129</v>
      </c>
      <c r="B77" s="6" t="n">
        <v>46204</v>
      </c>
      <c r="C77" s="7" t="n">
        <v>128.4</v>
      </c>
      <c r="D77" s="14" t="n">
        <f aca="false">$B$2</f>
        <v>0.06</v>
      </c>
      <c r="E77" s="7" t="n">
        <f aca="false">ROUND(C77*$B$2,2)</f>
        <v>7.7</v>
      </c>
    </row>
    <row r="78" customFormat="false" ht="15" hidden="false" customHeight="false" outlineLevel="0" collapsed="false">
      <c r="A78" s="5" t="s">
        <v>156</v>
      </c>
      <c r="B78" s="6" t="n">
        <v>46204</v>
      </c>
      <c r="C78" s="7" t="n">
        <v>122.4</v>
      </c>
      <c r="D78" s="14" t="n">
        <f aca="false">$B$2</f>
        <v>0.06</v>
      </c>
      <c r="E78" s="7" t="n">
        <f aca="false">ROUND(C78*$B$2,2)</f>
        <v>7.34</v>
      </c>
    </row>
    <row r="79" customFormat="false" ht="15" hidden="false" customHeight="false" outlineLevel="0" collapsed="false">
      <c r="A79" s="5" t="s">
        <v>130</v>
      </c>
      <c r="B79" s="6" t="n">
        <v>46204</v>
      </c>
      <c r="C79" s="7" t="n">
        <v>23.5</v>
      </c>
      <c r="D79" s="14" t="n">
        <f aca="false">$B$2</f>
        <v>0.06</v>
      </c>
      <c r="E79" s="7" t="n">
        <f aca="false">ROUND(C79*$B$2,2)</f>
        <v>1.41</v>
      </c>
    </row>
    <row r="80" customFormat="false" ht="15" hidden="false" customHeight="false" outlineLevel="0" collapsed="false">
      <c r="A80" s="5" t="s">
        <v>131</v>
      </c>
      <c r="B80" s="6" t="n">
        <v>46204</v>
      </c>
      <c r="C80" s="7" t="n">
        <v>270</v>
      </c>
      <c r="D80" s="14" t="n">
        <f aca="false">$B$2</f>
        <v>0.06</v>
      </c>
      <c r="E80" s="7" t="n">
        <f aca="false">ROUND(C80*$B$2,2)</f>
        <v>16.2</v>
      </c>
    </row>
    <row r="81" customFormat="false" ht="15" hidden="false" customHeight="false" outlineLevel="0" collapsed="false">
      <c r="A81" s="8" t="s">
        <v>49</v>
      </c>
      <c r="B81" s="8"/>
      <c r="C81" s="10" t="n">
        <f aca="false">SUM(C76:C80)</f>
        <v>589.3</v>
      </c>
      <c r="D81" s="8"/>
      <c r="E81" s="10" t="n">
        <f aca="false">SUM(E76:E80)</f>
        <v>35.35</v>
      </c>
    </row>
    <row r="83" customFormat="false" ht="15" hidden="false" customHeight="false" outlineLevel="0" collapsed="false">
      <c r="A83" s="13" t="s">
        <v>157</v>
      </c>
      <c r="B83" s="13"/>
      <c r="C83" s="13"/>
      <c r="D83" s="13"/>
      <c r="E83" s="13"/>
    </row>
    <row r="84" customFormat="false" ht="15" hidden="false" customHeight="false" outlineLevel="0" collapsed="false">
      <c r="A84" s="5" t="s">
        <v>158</v>
      </c>
      <c r="B84" s="6" t="n">
        <v>46235</v>
      </c>
      <c r="C84" s="7" t="n">
        <v>244.8</v>
      </c>
      <c r="D84" s="14" t="n">
        <f aca="false">$B$2</f>
        <v>0.06</v>
      </c>
      <c r="E84" s="7" t="n">
        <f aca="false">ROUND(C84*$B$2,2)</f>
        <v>14.69</v>
      </c>
    </row>
    <row r="85" customFormat="false" ht="15" hidden="false" customHeight="false" outlineLevel="0" collapsed="false">
      <c r="A85" s="8" t="s">
        <v>49</v>
      </c>
      <c r="B85" s="8"/>
      <c r="C85" s="10" t="n">
        <f aca="false">SUM(C84:C84)</f>
        <v>244.8</v>
      </c>
      <c r="D85" s="8"/>
      <c r="E85" s="10" t="n">
        <f aca="false">SUM(E84:E84)</f>
        <v>14.69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7"/>
  </cols>
  <sheetData>
    <row r="1" customFormat="false" ht="16.15" hidden="false" customHeight="false" outlineLevel="0" collapsed="false">
      <c r="A1" s="1" t="s">
        <v>159</v>
      </c>
    </row>
    <row r="2" customFormat="false" ht="15" hidden="false" customHeight="false" outlineLevel="0" collapsed="false">
      <c r="A2" s="2" t="s">
        <v>41</v>
      </c>
      <c r="B2" s="11" t="n">
        <v>0.04</v>
      </c>
      <c r="C2" s="12" t="s">
        <v>42</v>
      </c>
    </row>
    <row r="4" customFormat="false" ht="15" hidden="false" customHeight="false" outlineLevel="0" collapsed="false">
      <c r="A4" s="4" t="s">
        <v>43</v>
      </c>
      <c r="B4" s="4" t="s">
        <v>5</v>
      </c>
      <c r="C4" s="4" t="s">
        <v>7</v>
      </c>
      <c r="D4" s="4" t="s">
        <v>44</v>
      </c>
      <c r="E4" s="4" t="s">
        <v>45</v>
      </c>
    </row>
    <row r="5" customFormat="false" ht="15" hidden="false" customHeight="false" outlineLevel="0" collapsed="false">
      <c r="A5" s="13" t="s">
        <v>160</v>
      </c>
      <c r="B5" s="13"/>
      <c r="C5" s="13"/>
      <c r="D5" s="13"/>
      <c r="E5" s="13"/>
    </row>
    <row r="6" customFormat="false" ht="15" hidden="false" customHeight="false" outlineLevel="0" collapsed="false">
      <c r="A6" s="5" t="s">
        <v>161</v>
      </c>
      <c r="B6" s="6" t="n">
        <v>46174</v>
      </c>
      <c r="C6" s="7" t="n">
        <v>321.75</v>
      </c>
      <c r="D6" s="14" t="n">
        <f aca="false">$B$2</f>
        <v>0.04</v>
      </c>
      <c r="E6" s="7" t="n">
        <f aca="false">ROUND(C6*$B$2,2)</f>
        <v>12.87</v>
      </c>
    </row>
    <row r="7" customFormat="false" ht="15" hidden="false" customHeight="false" outlineLevel="0" collapsed="false">
      <c r="A7" s="5" t="s">
        <v>162</v>
      </c>
      <c r="B7" s="6" t="n">
        <v>46174</v>
      </c>
      <c r="C7" s="7" t="n">
        <v>632.1</v>
      </c>
      <c r="D7" s="14" t="n">
        <f aca="false">$B$2</f>
        <v>0.04</v>
      </c>
      <c r="E7" s="7" t="n">
        <f aca="false">ROUND(C7*$B$2,2)</f>
        <v>25.28</v>
      </c>
    </row>
    <row r="8" customFormat="false" ht="15" hidden="false" customHeight="false" outlineLevel="0" collapsed="false">
      <c r="A8" s="8" t="s">
        <v>49</v>
      </c>
      <c r="B8" s="8"/>
      <c r="C8" s="10" t="n">
        <f aca="false">SUM(C6:C7)</f>
        <v>953.85</v>
      </c>
      <c r="D8" s="8"/>
      <c r="E8" s="10" t="n">
        <f aca="false">SUM(E6:E7)</f>
        <v>38.15</v>
      </c>
    </row>
    <row r="10" customFormat="false" ht="15" hidden="false" customHeight="false" outlineLevel="0" collapsed="false">
      <c r="A10" s="13" t="s">
        <v>163</v>
      </c>
      <c r="B10" s="13"/>
      <c r="C10" s="13"/>
      <c r="D10" s="13"/>
      <c r="E10" s="13"/>
    </row>
    <row r="11" customFormat="false" ht="15" hidden="false" customHeight="false" outlineLevel="0" collapsed="false">
      <c r="A11" s="5" t="s">
        <v>164</v>
      </c>
      <c r="B11" s="6" t="n">
        <v>46204</v>
      </c>
      <c r="C11" s="7" t="n">
        <v>1633.44</v>
      </c>
      <c r="D11" s="14" t="n">
        <f aca="false">$B$2</f>
        <v>0.04</v>
      </c>
      <c r="E11" s="7" t="n">
        <f aca="false">ROUND(C11*$B$2,2)</f>
        <v>65.34</v>
      </c>
    </row>
    <row r="12" customFormat="false" ht="15" hidden="false" customHeight="false" outlineLevel="0" collapsed="false">
      <c r="A12" s="5" t="s">
        <v>165</v>
      </c>
      <c r="B12" s="6" t="n">
        <v>46204</v>
      </c>
      <c r="C12" s="7" t="n">
        <v>884.78</v>
      </c>
      <c r="D12" s="14" t="n">
        <f aca="false">$B$2</f>
        <v>0.04</v>
      </c>
      <c r="E12" s="7" t="n">
        <f aca="false">ROUND(C12*$B$2,2)</f>
        <v>35.39</v>
      </c>
    </row>
    <row r="13" customFormat="false" ht="15" hidden="false" customHeight="false" outlineLevel="0" collapsed="false">
      <c r="A13" s="5" t="s">
        <v>166</v>
      </c>
      <c r="B13" s="6" t="n">
        <v>46204</v>
      </c>
      <c r="C13" s="7" t="n">
        <v>948.15</v>
      </c>
      <c r="D13" s="14" t="n">
        <f aca="false">$B$2</f>
        <v>0.04</v>
      </c>
      <c r="E13" s="7" t="n">
        <f aca="false">ROUND(C13*$B$2,2)</f>
        <v>37.93</v>
      </c>
    </row>
    <row r="14" customFormat="false" ht="15" hidden="false" customHeight="false" outlineLevel="0" collapsed="false">
      <c r="A14" s="5" t="s">
        <v>167</v>
      </c>
      <c r="B14" s="6" t="n">
        <v>46204</v>
      </c>
      <c r="C14" s="7" t="n">
        <v>240.91</v>
      </c>
      <c r="D14" s="14" t="n">
        <f aca="false">$B$2</f>
        <v>0.04</v>
      </c>
      <c r="E14" s="7" t="n">
        <f aca="false">ROUND(C14*$B$2,2)</f>
        <v>9.64</v>
      </c>
    </row>
    <row r="15" customFormat="false" ht="15" hidden="false" customHeight="false" outlineLevel="0" collapsed="false">
      <c r="A15" s="5" t="s">
        <v>168</v>
      </c>
      <c r="B15" s="6" t="n">
        <v>46204</v>
      </c>
      <c r="C15" s="7" t="n">
        <v>68.06</v>
      </c>
      <c r="D15" s="14" t="n">
        <f aca="false">$B$2</f>
        <v>0.04</v>
      </c>
      <c r="E15" s="7" t="n">
        <f aca="false">ROUND(C15*$B$2,2)</f>
        <v>2.72</v>
      </c>
    </row>
    <row r="16" customFormat="false" ht="15" hidden="false" customHeight="false" outlineLevel="0" collapsed="false">
      <c r="A16" s="8" t="s">
        <v>49</v>
      </c>
      <c r="B16" s="8"/>
      <c r="C16" s="10" t="n">
        <f aca="false">SUM(C11:C15)</f>
        <v>3775.34</v>
      </c>
      <c r="D16" s="8"/>
      <c r="E16" s="10" t="n">
        <f aca="false">SUM(E11:E15)</f>
        <v>151.02</v>
      </c>
    </row>
    <row r="18" customFormat="false" ht="15" hidden="false" customHeight="false" outlineLevel="0" collapsed="false">
      <c r="A18" s="13" t="s">
        <v>169</v>
      </c>
      <c r="B18" s="13"/>
      <c r="C18" s="13"/>
      <c r="D18" s="13"/>
      <c r="E18" s="13"/>
    </row>
    <row r="19" customFormat="false" ht="15" hidden="false" customHeight="false" outlineLevel="0" collapsed="false">
      <c r="A19" s="5" t="s">
        <v>170</v>
      </c>
      <c r="B19" s="6" t="n">
        <v>46235</v>
      </c>
      <c r="C19" s="7" t="n">
        <v>2008.6</v>
      </c>
      <c r="D19" s="14" t="n">
        <f aca="false">$B$2</f>
        <v>0.04</v>
      </c>
      <c r="E19" s="7" t="n">
        <f aca="false">ROUND(C19*$B$2,2)</f>
        <v>80.34</v>
      </c>
    </row>
    <row r="20" customFormat="false" ht="15" hidden="false" customHeight="false" outlineLevel="0" collapsed="false">
      <c r="A20" s="5" t="s">
        <v>171</v>
      </c>
      <c r="B20" s="6" t="n">
        <v>46235</v>
      </c>
      <c r="C20" s="7" t="n">
        <v>1215.17</v>
      </c>
      <c r="D20" s="14" t="n">
        <f aca="false">$B$2</f>
        <v>0.04</v>
      </c>
      <c r="E20" s="7" t="n">
        <f aca="false">ROUND(C20*$B$2,2)</f>
        <v>48.61</v>
      </c>
    </row>
    <row r="21" customFormat="false" ht="15" hidden="false" customHeight="false" outlineLevel="0" collapsed="false">
      <c r="A21" s="8" t="s">
        <v>49</v>
      </c>
      <c r="B21" s="8"/>
      <c r="C21" s="10" t="n">
        <f aca="false">SUM(C19:C20)</f>
        <v>3223.77</v>
      </c>
      <c r="D21" s="8"/>
      <c r="E21" s="10" t="n">
        <f aca="false">SUM(E19:E20)</f>
        <v>128.95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2026-08-18T08:26:15Z</dcterms:created>
  <dc:creator>openpyxl</dc:creator>
  <dc:description/>
  <dc:language>en-US</dc:language>
  <cp:lastModifiedBy/>
  <dcterms:modified xsi:type="dcterms:W3CDTF">2026-08-18T08:26:15Z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